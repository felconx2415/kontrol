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frontel-my.sharepoint.com/personal/felipe_contreras_saesa_cl/Documents/1.- Dx Malleco/1.- Operaciones/0.- AÑO 2026/4.- Solicitud de Equipamiento/"/>
    </mc:Choice>
  </mc:AlternateContent>
  <xr:revisionPtr revIDLastSave="108" documentId="11_AD4D2F04E46CFB4ACB3E20F50DD1C80A693EDF2D" xr6:coauthVersionLast="47" xr6:coauthVersionMax="47" xr10:uidLastSave="{309419FB-EAE3-42AA-97C1-BA2C8EE4D1F6}"/>
  <bookViews>
    <workbookView xWindow="28692" yWindow="-48" windowWidth="29016" windowHeight="15696" xr2:uid="{00000000-000D-0000-FFFF-FFFF00000000}"/>
  </bookViews>
  <sheets>
    <sheet name="Hoja4" sheetId="4" r:id="rId1"/>
  </sheets>
  <definedNames>
    <definedName name="_xlnm._FilterDatabase" localSheetId="0" hidden="1">Hoja4!$A$1:$H$207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4" l="1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" i="4"/>
</calcChain>
</file>

<file path=xl/sharedStrings.xml><?xml version="1.0" encoding="utf-8"?>
<sst xmlns="http://schemas.openxmlformats.org/spreadsheetml/2006/main" count="832" uniqueCount="219">
  <si>
    <t>Casco de Segurida blanco,Tipo Media Ala; Supervisores.</t>
  </si>
  <si>
    <t>Lente Seguridad Tpte Mod ArticElite c/Cg</t>
  </si>
  <si>
    <t>Lente Seguridad Osc Mod ArticElite c/Cg</t>
  </si>
  <si>
    <t>Kit Reemplazo p/Trepaderas</t>
  </si>
  <si>
    <t>Guante Dielectrico Ne-Amll T 10 CL 2</t>
  </si>
  <si>
    <t>Cadenas p/ruedas vehículos 225/75 Aro 16</t>
  </si>
  <si>
    <t>Polainas para protección contra la nieve</t>
  </si>
  <si>
    <t>Antiparra Nieve Gris UV UVEX</t>
  </si>
  <si>
    <t>Mosquetón carabinero Al. recto 3/TPO. 22</t>
  </si>
  <si>
    <t>Arnes p/Manga Dele SH-1</t>
  </si>
  <si>
    <t>Perno c/Ojo Tca Hex 5/8"x9"x6"</t>
  </si>
  <si>
    <t>Parka 100% impermeable Term.Bic. SAESA S</t>
  </si>
  <si>
    <t>Parka 100% impermeable Term.Bic. SAESA M</t>
  </si>
  <si>
    <t>Parka 100% impermeable Term.Bic. SAESA L</t>
  </si>
  <si>
    <t>Parka 100% impermeabl Term.Bic. SAESA XL</t>
  </si>
  <si>
    <t>Parka 100% impermeab Term.Bic. SAESA XXL</t>
  </si>
  <si>
    <t>Traje Agua Impermeable plomo/amarillo S</t>
  </si>
  <si>
    <t>Traje Agua Impermeable plomo/amarillo M</t>
  </si>
  <si>
    <t>Traje Agua Impermeable plomo/amarillo L</t>
  </si>
  <si>
    <t>Traje Agua Impermeable plomo/amarillo XL</t>
  </si>
  <si>
    <t>Traje Agua Impermeable plomo/amarillo XXL</t>
  </si>
  <si>
    <t>Guante de trabajo Legend, mod. Pro131066</t>
  </si>
  <si>
    <t>Conector express 25 x 30cm 22 KN c/desl.</t>
  </si>
  <si>
    <t>Cuerda nylon torcido 8 mm x 15 mts.</t>
  </si>
  <si>
    <t>Detector Tension BT 6-690V AC/DC</t>
  </si>
  <si>
    <t>Antena VHF p/Movil 136-174MHz</t>
  </si>
  <si>
    <t>Baliza electroboscopica modelo 401 SF</t>
  </si>
  <si>
    <t>Candado no operar  AP, diámetro 4,76 mm - 38</t>
  </si>
  <si>
    <t>Letrero Octogonal No Operar 330x6mm</t>
  </si>
  <si>
    <t>Letrero Advert escaleras Logo SAESA</t>
  </si>
  <si>
    <t>Conos Señalizacion 28"Alto PVC</t>
  </si>
  <si>
    <t>Cinta PELIGRO p/cercar área trabajos</t>
  </si>
  <si>
    <t>Cubertor Gm p/Cond BT 1,5mt Lg</t>
  </si>
  <si>
    <t>Napoleon Lg 18" Stanley</t>
  </si>
  <si>
    <t>Marco de Sierra 12"</t>
  </si>
  <si>
    <t>Extractor Conec UDC CatPN5728821</t>
  </si>
  <si>
    <t>Alikatro para conector Katro</t>
  </si>
  <si>
    <t>Alicate Pico loro 12" Conec UDC</t>
  </si>
  <si>
    <t>Llave Seg Caja BT 5 Puntas</t>
  </si>
  <si>
    <t>Martillo Peña 1Lbr Stanley</t>
  </si>
  <si>
    <t>Tiracable Ca Des Cu-Ace</t>
  </si>
  <si>
    <t>Tiracable Mordaza 8AWG-250MCM</t>
  </si>
  <si>
    <t>Tiracable Mordaza Ca 1-4/0AWG</t>
  </si>
  <si>
    <t>Polea Spl 3" p/Msjro s/fin</t>
  </si>
  <si>
    <t>Perlon Trenzado 5/8" 25mt</t>
  </si>
  <si>
    <t>Estrobos Diam 5/16" x 0,7mt Lg</t>
  </si>
  <si>
    <t>Funda p/Pert Tlsc 190x18cm</t>
  </si>
  <si>
    <t>Funda p/Pert 3 Cpo 190x30cm</t>
  </si>
  <si>
    <t>Funda p/Puesta tierra MT 190x100cm</t>
  </si>
  <si>
    <t>Funda p/Tierra BT 190x17cm</t>
  </si>
  <si>
    <t>Funda p/Pert BT 130x12cm</t>
  </si>
  <si>
    <t>Cubierta para aislador espiga 25 Kv</t>
  </si>
  <si>
    <t>Cubierta rigida para conductor 25 Kv</t>
  </si>
  <si>
    <t>Casco Seg Ala Cmpt Amarillo + Suspen. y Barboquejo.</t>
  </si>
  <si>
    <t>Casco Seg Cmpt Prot Oido-Facial</t>
  </si>
  <si>
    <t>Suspensión Rpst Cco Seg V-Gard</t>
  </si>
  <si>
    <t>Barboquejo Casco Seg Ele MSA</t>
  </si>
  <si>
    <t>Gorro Prot Frio c/Cco Seg</t>
  </si>
  <si>
    <t>Legionario p/casco, naranjo, 7,5 onzas A</t>
  </si>
  <si>
    <t>Esclavina para trabajos en distribución.</t>
  </si>
  <si>
    <t>Emulsión Oil/Water UVA/UVB SPF50+ 220grs</t>
  </si>
  <si>
    <t>Gafa Seguridad sbr LteOpt Claro c/Cg</t>
  </si>
  <si>
    <t>Funda Trpte Lente Seg Capc 2 Pares</t>
  </si>
  <si>
    <t>Chaleco de alta visibilidad amarillo S</t>
  </si>
  <si>
    <t>Chaleco de alta visibilidad amarillo M</t>
  </si>
  <si>
    <t>Chaleco de alta visibilidad amarillo L</t>
  </si>
  <si>
    <t>Chaleco de alta visibilidad amarillo XL</t>
  </si>
  <si>
    <t>Chaleco de alta visibilidad amarillo XXL</t>
  </si>
  <si>
    <t>Chaqueta 100% Imp. Igni. FLUOR.Talla S</t>
  </si>
  <si>
    <t>Chaqueta 100% Imp.  Igni. FLUOR Talla M</t>
  </si>
  <si>
    <t>Chaqueta 100% Imp. Igní. FLUOR talla L</t>
  </si>
  <si>
    <t>Chaqueta 100% Imp. Igní. FLUOR talla XL</t>
  </si>
  <si>
    <t>Chaqueta 100% Imp. Igni. FLUOR Talla XXL</t>
  </si>
  <si>
    <t>Overol p/lluvia ignífugo FLUOR, Talla S</t>
  </si>
  <si>
    <t>Overol p/lluvia ignífugo FLUOR, Talla M</t>
  </si>
  <si>
    <t>Overol p/lluvia ignífugo FLUOR, Talla L</t>
  </si>
  <si>
    <t>Overol p/lluvia ignífugo FLUOR, Talla XL</t>
  </si>
  <si>
    <t>Overol p/lluvia ignífugo FLUOR,Talla XXL</t>
  </si>
  <si>
    <t>Parka Ignífuga Term. bicolor mod.SAESA S</t>
  </si>
  <si>
    <t>Parka Ignífuga Term. bicolor mod.SAESA M</t>
  </si>
  <si>
    <t>Parka Ignífuga Term. bicolor mod.SAESA L</t>
  </si>
  <si>
    <t>Parka Ignífuga Term. bicolor mod.SAESAXL</t>
  </si>
  <si>
    <t>Parka Ignífuga Term. bicolor mod.SAESA XXL</t>
  </si>
  <si>
    <t>CHAQUETA IGNÍFUGA CORTA BIC. MOD.SAESA S</t>
  </si>
  <si>
    <t>CHAQUETA IGNÍFUGA CORTA BIC. MOD.SAESA M</t>
  </si>
  <si>
    <t>CHAQUETA IGNÍFUGA CORTA BIC. MOD.SAESA L</t>
  </si>
  <si>
    <t>CHAQUETA IGNÍFUGA CORTA BIC. MOD.SAESA XL</t>
  </si>
  <si>
    <t>CHAQUETA IGNÍFUGA CORTA BIC. MOD.SAESA XXL</t>
  </si>
  <si>
    <t>Chaqueta antif. imper.azul mod.SAESA S</t>
  </si>
  <si>
    <t>Chaqueta antif. imper.azul mod.SAESA M</t>
  </si>
  <si>
    <t>Chaqueta antif. imper.azul mod.SAESA L</t>
  </si>
  <si>
    <t>Chaqueta antif. imper.azul mod.SAESA XL</t>
  </si>
  <si>
    <t>Chaqueta antif. imper.azul mod.SAESA XXL</t>
  </si>
  <si>
    <t>Polera ignífuga AZUL NAVY, mod. SAESA S</t>
  </si>
  <si>
    <t>Polera ignífuga AZUL NAVY, mod. SAESA M</t>
  </si>
  <si>
    <t>Polera ignífuga AZUL NAVY, mod. SAESA L</t>
  </si>
  <si>
    <t>Polera ignífuga AZUL NAVY, mod. SAESA XL</t>
  </si>
  <si>
    <t>Polera ignífuga AZUL NAVY, mod. SAESA XXL</t>
  </si>
  <si>
    <t>Arnés de seg. 2 argollas Ranquil talla S</t>
  </si>
  <si>
    <t>Arnés de seg. 2 argollas Ranquil talla M</t>
  </si>
  <si>
    <t>Arnés de seg. argollas Ranquil talla L</t>
  </si>
  <si>
    <t>Arnés de seg 2 argollas Ranquil talla XL</t>
  </si>
  <si>
    <t>Arnés de seg 2 argollas Ranquil tallaXXL</t>
  </si>
  <si>
    <t>Pantalón Ignífugo cargo Gris modSAESA 42</t>
  </si>
  <si>
    <t>Pantalón Ignífugo cargo Gris modSAESA 44</t>
  </si>
  <si>
    <t>Pantalón Ignífugo cargo Gris modSAESA 46</t>
  </si>
  <si>
    <t>Pantalón Ignífugo cargo Gris modSAESA 48</t>
  </si>
  <si>
    <t>Pantalón Ignífugo cargo Gris modSAESA 50</t>
  </si>
  <si>
    <t>Pantalón Ignífugo cargo Gris modSAESA 52</t>
  </si>
  <si>
    <t>Pantalón Ignífugo cargo Gris modSAESA 54</t>
  </si>
  <si>
    <t>Pantalón Anticorte p/MtSrr T M</t>
  </si>
  <si>
    <t>Pantalón Anticorte p/MtSrr T L</t>
  </si>
  <si>
    <t>Pantalón Anticorte p/MtSrr T XL</t>
  </si>
  <si>
    <t>Pantalón Anticorte p/MtSrr T XXL</t>
  </si>
  <si>
    <t>Guante Diel CL 0 T 9"(Slb)/9"(Nvx)</t>
  </si>
  <si>
    <t>Guante Diel CL 0 T 9,5" (Slb)/10"(Nvx)</t>
  </si>
  <si>
    <t>Guante Diel CL 0 T 10"(Slb)/11"(Nvx)</t>
  </si>
  <si>
    <t>Guante Dielectrico Ne-Amll T 9"CL 2</t>
  </si>
  <si>
    <t>Guante Diel CL 2 T 9,5"(Slb)/9"(Nvx)</t>
  </si>
  <si>
    <t>Guante Diel CL 2 T 10"(Slb)/10"(Nvx)</t>
  </si>
  <si>
    <t>Guante Dielectrico Ne-Ve T 9"CL 3</t>
  </si>
  <si>
    <t>Guante Dielectrico Bicolor T 9,5" CL 3</t>
  </si>
  <si>
    <t>Guante Dielectrico Bicolor T 10" CL 3</t>
  </si>
  <si>
    <t>Guante Cuero Prot Dele Rj 13" CL0</t>
  </si>
  <si>
    <t>Guante Cuero Prot Dele Am 14" CL2</t>
  </si>
  <si>
    <t>Guante Cuero, prot dielect Verde 14" CL3</t>
  </si>
  <si>
    <t>Guante 100% algodón p/humedad, talla 10".</t>
  </si>
  <si>
    <t>Manga dieléctrica curva clase 2 -  26"</t>
  </si>
  <si>
    <t>Botín Seg American Shoe mod Patagonia 39 invierno Coyhaique</t>
  </si>
  <si>
    <t>Botín Seg American Shoe mod Patagonia 40 invierno Coyhaique</t>
  </si>
  <si>
    <t>Botín Seg American Shoe mod Patagonia 41 invierno Coyhaique</t>
  </si>
  <si>
    <t>Botín Seg American Shoe mod Patagonia 42 invierno Coyhaique</t>
  </si>
  <si>
    <t>Botín Seg American Shoe mod Patagonia 43 invierno Coyhaiqe</t>
  </si>
  <si>
    <t>Botín Seguridad Norseg mod. NS 595 N° 39 verano Coyhaique</t>
  </si>
  <si>
    <t>Botín Seguridad Norseg mod. NS 595 N° 40 verano Coyhaique</t>
  </si>
  <si>
    <t>Botín Seguridad Norseg mod. NS 595 N° 41 verano Coyhaique</t>
  </si>
  <si>
    <t>Botín Seguridad Norseg mod. NS 595 N° 42 verano Coyhaique</t>
  </si>
  <si>
    <t>Botín Seguridad Norseg mod. NS 595 N° 43 verano Coyhaique</t>
  </si>
  <si>
    <t>Buzo Trmc p/Nve 44 Clr Nar</t>
  </si>
  <si>
    <t>Buzo Trmc p/Nve 46 Clr Nar</t>
  </si>
  <si>
    <t>Buzo Trmc p/Nve 48 Clr Nar</t>
  </si>
  <si>
    <t>Buzo Trmc p/Nve 50 Clr Nar</t>
  </si>
  <si>
    <t>Buzo Trmc p/Nve 52 Clr Nar</t>
  </si>
  <si>
    <t>Buzo Trmc p/Nve 54 Clr Nar</t>
  </si>
  <si>
    <t>Buzo Térmico impermeable; Talla S</t>
  </si>
  <si>
    <t>Buzo Térmico impermeable; Talla M</t>
  </si>
  <si>
    <t>Buzo Térmico impermeable; Talla L</t>
  </si>
  <si>
    <t>Buzo Térmico impermeable; Talla XL</t>
  </si>
  <si>
    <t>Raquetas para la Nieve</t>
  </si>
  <si>
    <t>Amortiguador, lazo-cinta tubular c/mosqu</t>
  </si>
  <si>
    <t>Dispositivo anti trauma de caída</t>
  </si>
  <si>
    <t>Linterna Frontal p/Cco Seg Terr</t>
  </si>
  <si>
    <t>Linterna Streamlight SL-20X LED</t>
  </si>
  <si>
    <t>Funda Guante Dielec clase 0 Clr Rojo</t>
  </si>
  <si>
    <t>Funda Guante Dialec clase 2 Clr Amarilll</t>
  </si>
  <si>
    <t>Funda Guante Dielec clase 3 Clr Verde</t>
  </si>
  <si>
    <t>Cinturón Seg Lini 40"</t>
  </si>
  <si>
    <t>Cinturón Seg Lini 44"</t>
  </si>
  <si>
    <t>Cinturón Seg Lini 48"</t>
  </si>
  <si>
    <t>Estrobo Seg Lini 3 Capas 1,7mt</t>
  </si>
  <si>
    <t>Alicate Pta 7" c/Aslc 654-7C</t>
  </si>
  <si>
    <t>Alicate Univ 8"MgoAis 12098-INS</t>
  </si>
  <si>
    <t>FundaCro PortaHerr Cat5119 Klein para cinturón.</t>
  </si>
  <si>
    <t>Bolsa Lona p/Herr Mod 5179</t>
  </si>
  <si>
    <t>Destornillador Pl Ais 1x5,5x125mm</t>
  </si>
  <si>
    <t>Destornillador Cruz Ais 2x100mm</t>
  </si>
  <si>
    <t>Llave Ajus 12" c/Aslc Bhaco</t>
  </si>
  <si>
    <t>Llave Ajus 10" c/Aslc Bhaco</t>
  </si>
  <si>
    <t>Llave Ajus 8" c/Aslc Bhaco</t>
  </si>
  <si>
    <t>Llave Ajus 6" c/Aslc Bhaco</t>
  </si>
  <si>
    <t>Llave Pta y Crna 1/2" Bhaco</t>
  </si>
  <si>
    <t>Llave Seg Pno Estrella 6 Pta</t>
  </si>
  <si>
    <t>Trepadera Poste Concreto</t>
  </si>
  <si>
    <t>Mensajero Personal p/Liniero</t>
  </si>
  <si>
    <t>Repelador Perros Ultrasonido</t>
  </si>
  <si>
    <t>Casco Bl Ala Completa</t>
  </si>
  <si>
    <t>Piernera Imper AzMarino T Stan</t>
  </si>
  <si>
    <t>Bota Gm Ne Caña Lg Pta Ace 42</t>
  </si>
  <si>
    <t>FD1400D082</t>
  </si>
  <si>
    <t>CECO</t>
  </si>
  <si>
    <t>CODIGO</t>
  </si>
  <si>
    <t>ITEM</t>
  </si>
  <si>
    <t>U/M</t>
  </si>
  <si>
    <t>VALOR UNITARIO</t>
  </si>
  <si>
    <t>ACTIVO</t>
  </si>
  <si>
    <t>ESTADO</t>
  </si>
  <si>
    <t>Herramienta Rmp Carga LBu 14,5/25KV</t>
  </si>
  <si>
    <t>Herramienta Rmp Carga LBu 25/34,5KV</t>
  </si>
  <si>
    <t>Secuenciometro Pta Prb Mod 3126 HIOKI</t>
  </si>
  <si>
    <t>Volt-Ampermetro Tza Dgt Mod 3282 HIOKI</t>
  </si>
  <si>
    <t>Probador Guante Aslt G99</t>
  </si>
  <si>
    <t>Cortador Cable Mod63060 KleinTool</t>
  </si>
  <si>
    <t>Podador de Altura Motorizada Stihl HT103</t>
  </si>
  <si>
    <t>Detector Tensión Acústico-Vis 10-30KV</t>
  </si>
  <si>
    <t>Puesta Tierra BT con garras</t>
  </si>
  <si>
    <t>Tierra MT Chance 1,8mt</t>
  </si>
  <si>
    <t>Puesta a tierra temporal preens en línea</t>
  </si>
  <si>
    <t>Escalera Tlsc Fibra Vid 6,4mt mod.D-7124-2</t>
  </si>
  <si>
    <t>Herramienta Comps Hidr 8AWG-500MCM</t>
  </si>
  <si>
    <t>Herramienta Comps 8-2AWG Mod 53MXJ</t>
  </si>
  <si>
    <t>Herramienta Conec Alu Apc</t>
  </si>
  <si>
    <t>Linterna Litebox modelo 45852( foco naranjo)</t>
  </si>
  <si>
    <t>Motosierra Espada Crt 14" 35,2 cc</t>
  </si>
  <si>
    <t>Pértiga BT c/Fda H3046-11</t>
  </si>
  <si>
    <t>Podadora Altura Manual H2106-4</t>
  </si>
  <si>
    <t>Pértiga Telescópica 7Cpos 9,21Lg  HV-230</t>
  </si>
  <si>
    <t>Pértiga MT 3 Secciones Atornillada</t>
  </si>
  <si>
    <t>Pértiga Gatillo 3,2m c/Fda</t>
  </si>
  <si>
    <t>Tecle Pal c/Cadena 3/4 Ton</t>
  </si>
  <si>
    <t>Tecle Cordel 3 Poleas</t>
  </si>
  <si>
    <t>Equipo base/móvil VHF, 136-174mhz FDMA ICOM sin conector Accesorios</t>
  </si>
  <si>
    <t>Equipo portátil VHF, 136-174mhz FDMA ICOM</t>
  </si>
  <si>
    <t>Binocular 10x42mm 1000/100mts</t>
  </si>
  <si>
    <t>Telemetro Medr Dst Laser Bushnell 202355</t>
  </si>
  <si>
    <t>200/IM136</t>
  </si>
  <si>
    <t>UN</t>
  </si>
  <si>
    <t>PAA</t>
  </si>
  <si>
    <t>CANT INTEGRANTE</t>
  </si>
  <si>
    <t>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</si>
</sst>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">
    <xf numFmtId="0" fontId="0" fillId="0" borderId="0" xfId="0"/>
    <xf numFmtId="0" fontId="0" fillId="0" borderId="1" xfId="0" applyBorder="1"/>
  </cellXfs>
  <cellStyles count="3">
    <cellStyle name="Normal" xfId="0" builtinId="0"/>
    <cellStyle name="Normal 2" xfId="1" xr:uid="{FE2B2EDE-0522-499E-B363-754CB64A7918}"/>
    <cellStyle name="Normal 3" xfId="2" xr:uid="{FD1AACF5-28EF-4655-B3EA-2E1853BDB6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CC85-9F11-43B3-8423-C6B09C5C5B3F}">
  <dimension ref="A1:J207"/>
  <sheetViews>
    <sheetView tabSelected="1" workbookViewId="0">
      <selection activeCell="C156" sqref="C156"/>
    </sheetView>
  </sheetViews>
  <sheetFormatPr baseColWidth="10" defaultRowHeight="14.4" x14ac:dyDescent="0.3"/>
  <cols>
    <col min="2" max="2" width="70.5546875" customWidth="1"/>
    <col min="10" max="10" width="100.109375" bestFit="1" customWidth="1"/>
  </cols>
  <sheetData>
    <row r="1" spans="1:10" x14ac:dyDescent="0.3">
      <c r="A1" s="1" t="s">
        <v>180</v>
      </c>
      <c r="B1" s="1" t="s">
        <v>181</v>
      </c>
      <c r="C1" s="1" t="s">
        <v>182</v>
      </c>
      <c r="D1" t="s">
        <v>183</v>
      </c>
      <c r="E1" t="s">
        <v>218</v>
      </c>
      <c r="F1" t="s">
        <v>217</v>
      </c>
      <c r="G1" t="s">
        <v>179</v>
      </c>
      <c r="H1" t="s">
        <v>185</v>
      </c>
      <c r="J1">
        <v>80018050</v>
      </c>
    </row>
    <row r="2" spans="1:10" x14ac:dyDescent="0.3">
      <c r="A2">
        <v>70035100</v>
      </c>
      <c r="B2" t="s">
        <v>0</v>
      </c>
      <c r="C2" t="s">
        <v>215</v>
      </c>
      <c r="D2">
        <v>9382</v>
      </c>
      <c r="F2">
        <v>1</v>
      </c>
      <c r="G2" t="s">
        <v>178</v>
      </c>
      <c r="H2" t="s">
        <v>184</v>
      </c>
      <c r="J2" t="str">
        <f>A2 &amp; "," &amp; """" &amp; B2 &amp; """" &amp; "," &amp; C2 &amp; "," &amp; D2 &amp; "," &amp; E2 &amp; "," &amp; F2 &amp; "," &amp; G2 &amp; "," &amp; H2</f>
        <v>70035100,"Casco de Segurida blanco,Tipo Media Ala; Supervisores.",UN,9382,,1,FD1400D082,ACTIVO</v>
      </c>
    </row>
    <row r="3" spans="1:10" x14ac:dyDescent="0.3">
      <c r="A3">
        <v>70005130</v>
      </c>
      <c r="B3" t="s">
        <v>1</v>
      </c>
      <c r="C3" t="s">
        <v>215</v>
      </c>
      <c r="D3">
        <v>7409</v>
      </c>
      <c r="F3">
        <v>1</v>
      </c>
      <c r="G3" t="s">
        <v>178</v>
      </c>
      <c r="H3" t="s">
        <v>184</v>
      </c>
      <c r="J3" t="str">
        <f t="shared" ref="J3:J66" si="0">A3 &amp; "," &amp; """" &amp; B3 &amp; """" &amp; "," &amp; C3 &amp; "," &amp; D3 &amp; "," &amp; E3 &amp; "," &amp; F3 &amp; "," &amp; G3 &amp; "," &amp; H3</f>
        <v>70005130,"Lente Seguridad Tpte Mod ArticElite c/Cg",UN,7409,,1,FD1400D082,ACTIVO</v>
      </c>
    </row>
    <row r="4" spans="1:10" x14ac:dyDescent="0.3">
      <c r="A4">
        <v>70005140</v>
      </c>
      <c r="B4" t="s">
        <v>2</v>
      </c>
      <c r="C4" t="s">
        <v>215</v>
      </c>
      <c r="D4">
        <v>7475</v>
      </c>
      <c r="F4">
        <v>1</v>
      </c>
      <c r="G4" t="s">
        <v>178</v>
      </c>
      <c r="H4" t="s">
        <v>184</v>
      </c>
      <c r="J4" t="str">
        <f t="shared" si="0"/>
        <v>70005140,"Lente Seguridad Osc Mod ArticElite c/Cg",UN,7475,,1,FD1400D082,ACTIVO</v>
      </c>
    </row>
    <row r="5" spans="1:10" x14ac:dyDescent="0.3">
      <c r="A5">
        <v>80080021</v>
      </c>
      <c r="B5" t="s">
        <v>3</v>
      </c>
      <c r="C5" t="s">
        <v>215</v>
      </c>
      <c r="D5">
        <v>27348</v>
      </c>
      <c r="F5">
        <v>1</v>
      </c>
      <c r="G5" t="s">
        <v>178</v>
      </c>
      <c r="H5" t="s">
        <v>184</v>
      </c>
      <c r="J5" t="str">
        <f t="shared" si="0"/>
        <v>80080021,"Kit Reemplazo p/Trepaderas",UN,27348,,1,FD1400D082,ACTIVO</v>
      </c>
    </row>
    <row r="6" spans="1:10" x14ac:dyDescent="0.3">
      <c r="A6">
        <v>70060084</v>
      </c>
      <c r="B6" t="s">
        <v>4</v>
      </c>
      <c r="C6" t="s">
        <v>216</v>
      </c>
      <c r="D6">
        <v>254035</v>
      </c>
      <c r="F6">
        <v>1</v>
      </c>
      <c r="G6" t="s">
        <v>178</v>
      </c>
      <c r="H6" t="s">
        <v>184</v>
      </c>
      <c r="J6" t="str">
        <f t="shared" si="0"/>
        <v>70060084,"Guante Dielectrico Ne-Amll T 10 CL 2",PAA,254035,,1,FD1400D082,ACTIVO</v>
      </c>
    </row>
    <row r="7" spans="1:10" x14ac:dyDescent="0.3">
      <c r="A7">
        <v>80055320</v>
      </c>
      <c r="B7" t="s">
        <v>5</v>
      </c>
      <c r="C7" t="s">
        <v>216</v>
      </c>
      <c r="D7">
        <v>59165</v>
      </c>
      <c r="F7">
        <v>1</v>
      </c>
      <c r="G7" t="s">
        <v>178</v>
      </c>
      <c r="H7" t="s">
        <v>184</v>
      </c>
      <c r="J7" t="str">
        <f t="shared" si="0"/>
        <v>80055320,"Cadenas p/ruedas vehículos 225/75 Aro 16",PAA,59165,,1,FD1400D082,ACTIVO</v>
      </c>
    </row>
    <row r="8" spans="1:10" x14ac:dyDescent="0.3">
      <c r="A8">
        <v>70040130</v>
      </c>
      <c r="B8" t="s">
        <v>6</v>
      </c>
      <c r="C8" t="s">
        <v>216</v>
      </c>
      <c r="D8">
        <v>30488</v>
      </c>
      <c r="F8">
        <v>1</v>
      </c>
      <c r="G8" t="s">
        <v>178</v>
      </c>
      <c r="H8" t="s">
        <v>184</v>
      </c>
      <c r="J8" t="str">
        <f t="shared" si="0"/>
        <v>70040130,"Polainas para protección contra la nieve",PAA,30488,,1,FD1400D082,ACTIVO</v>
      </c>
    </row>
    <row r="9" spans="1:10" x14ac:dyDescent="0.3">
      <c r="A9">
        <v>70005350</v>
      </c>
      <c r="B9" t="s">
        <v>7</v>
      </c>
      <c r="C9" t="s">
        <v>215</v>
      </c>
      <c r="D9">
        <v>4174</v>
      </c>
      <c r="F9">
        <v>1</v>
      </c>
      <c r="G9" t="s">
        <v>178</v>
      </c>
      <c r="H9" t="s">
        <v>184</v>
      </c>
      <c r="J9" t="str">
        <f t="shared" si="0"/>
        <v>70005350,"Antiparra Nieve Gris UV UVEX",UN,4174,,1,FD1400D082,ACTIVO</v>
      </c>
    </row>
    <row r="10" spans="1:10" x14ac:dyDescent="0.3">
      <c r="A10">
        <v>70099160</v>
      </c>
      <c r="B10" t="s">
        <v>8</v>
      </c>
      <c r="C10" t="s">
        <v>215</v>
      </c>
      <c r="D10">
        <v>9528</v>
      </c>
      <c r="F10">
        <v>1</v>
      </c>
      <c r="G10" t="s">
        <v>178</v>
      </c>
      <c r="H10" t="s">
        <v>184</v>
      </c>
      <c r="J10" t="str">
        <f t="shared" si="0"/>
        <v>70099160,"Mosquetón carabinero Al. recto 3/TPO. 22",UN,9528,,1,FD1400D082,ACTIVO</v>
      </c>
    </row>
    <row r="11" spans="1:10" x14ac:dyDescent="0.3">
      <c r="A11">
        <v>80001600</v>
      </c>
      <c r="B11" t="s">
        <v>9</v>
      </c>
      <c r="C11" t="s">
        <v>215</v>
      </c>
      <c r="D11">
        <v>22553</v>
      </c>
      <c r="F11">
        <v>1</v>
      </c>
      <c r="G11" t="s">
        <v>178</v>
      </c>
      <c r="H11" t="s">
        <v>184</v>
      </c>
      <c r="J11" t="str">
        <f t="shared" si="0"/>
        <v>80001600,"Arnes p/Manga Dele SH-1",UN,22553,,1,FD1400D082,ACTIVO</v>
      </c>
    </row>
    <row r="12" spans="1:10" x14ac:dyDescent="0.3">
      <c r="A12">
        <v>15092050</v>
      </c>
      <c r="B12" t="s">
        <v>10</v>
      </c>
      <c r="C12" t="s">
        <v>215</v>
      </c>
      <c r="D12">
        <v>2527</v>
      </c>
      <c r="F12">
        <v>1</v>
      </c>
      <c r="G12" t="s">
        <v>178</v>
      </c>
      <c r="H12" t="s">
        <v>184</v>
      </c>
      <c r="J12" t="str">
        <f t="shared" si="0"/>
        <v>15092050,"Perno c/Ojo Tca Hex 5/8"x9"x6"",UN,2527,,1,FD1400D082,ACTIVO</v>
      </c>
    </row>
    <row r="13" spans="1:10" x14ac:dyDescent="0.3">
      <c r="A13">
        <v>70082250</v>
      </c>
      <c r="B13" t="s">
        <v>11</v>
      </c>
      <c r="C13" t="s">
        <v>215</v>
      </c>
      <c r="D13">
        <v>88381</v>
      </c>
      <c r="F13">
        <v>1</v>
      </c>
      <c r="G13" t="s">
        <v>178</v>
      </c>
      <c r="H13" t="s">
        <v>184</v>
      </c>
      <c r="J13" t="str">
        <f t="shared" si="0"/>
        <v>70082250,"Parka 100% impermeable Term.Bic. SAESA S",UN,88381,,1,FD1400D082,ACTIVO</v>
      </c>
    </row>
    <row r="14" spans="1:10" x14ac:dyDescent="0.3">
      <c r="A14">
        <v>70082260</v>
      </c>
      <c r="B14" t="s">
        <v>12</v>
      </c>
      <c r="C14" t="s">
        <v>215</v>
      </c>
      <c r="D14">
        <v>87498</v>
      </c>
      <c r="F14">
        <v>1</v>
      </c>
      <c r="G14" t="s">
        <v>178</v>
      </c>
      <c r="H14" t="s">
        <v>184</v>
      </c>
      <c r="J14" t="str">
        <f t="shared" si="0"/>
        <v>70082260,"Parka 100% impermeable Term.Bic. SAESA M",UN,87498,,1,FD1400D082,ACTIVO</v>
      </c>
    </row>
    <row r="15" spans="1:10" x14ac:dyDescent="0.3">
      <c r="A15">
        <v>70082270</v>
      </c>
      <c r="B15" t="s">
        <v>13</v>
      </c>
      <c r="C15" t="s">
        <v>215</v>
      </c>
      <c r="D15">
        <v>86670</v>
      </c>
      <c r="F15">
        <v>1</v>
      </c>
      <c r="G15" t="s">
        <v>178</v>
      </c>
      <c r="H15" t="s">
        <v>184</v>
      </c>
      <c r="J15" t="str">
        <f t="shared" si="0"/>
        <v>70082270,"Parka 100% impermeable Term.Bic. SAESA L",UN,86670,,1,FD1400D082,ACTIVO</v>
      </c>
    </row>
    <row r="16" spans="1:10" x14ac:dyDescent="0.3">
      <c r="A16">
        <v>70082280</v>
      </c>
      <c r="B16" t="s">
        <v>14</v>
      </c>
      <c r="C16" t="s">
        <v>215</v>
      </c>
      <c r="D16">
        <v>89597</v>
      </c>
      <c r="F16">
        <v>1</v>
      </c>
      <c r="G16" t="s">
        <v>178</v>
      </c>
      <c r="H16" t="s">
        <v>184</v>
      </c>
      <c r="J16" t="str">
        <f t="shared" si="0"/>
        <v>70082280,"Parka 100% impermeabl Term.Bic. SAESA XL",UN,89597,,1,FD1400D082,ACTIVO</v>
      </c>
    </row>
    <row r="17" spans="1:10" x14ac:dyDescent="0.3">
      <c r="A17">
        <v>70082290</v>
      </c>
      <c r="B17" t="s">
        <v>15</v>
      </c>
      <c r="C17" t="s">
        <v>215</v>
      </c>
      <c r="D17">
        <v>88381</v>
      </c>
      <c r="F17">
        <v>1</v>
      </c>
      <c r="G17" t="s">
        <v>178</v>
      </c>
      <c r="H17" t="s">
        <v>184</v>
      </c>
      <c r="J17" t="str">
        <f t="shared" si="0"/>
        <v>70082290,"Parka 100% impermeab Term.Bic. SAESA XXL",UN,88381,,1,FD1400D082,ACTIVO</v>
      </c>
    </row>
    <row r="18" spans="1:10" x14ac:dyDescent="0.3">
      <c r="A18">
        <v>70107250</v>
      </c>
      <c r="B18" t="s">
        <v>16</v>
      </c>
      <c r="C18" t="s">
        <v>215</v>
      </c>
      <c r="D18">
        <v>0</v>
      </c>
      <c r="F18">
        <v>1</v>
      </c>
      <c r="G18" t="s">
        <v>178</v>
      </c>
      <c r="H18" t="s">
        <v>184</v>
      </c>
      <c r="J18" t="str">
        <f t="shared" si="0"/>
        <v>70107250,"Traje Agua Impermeable plomo/amarillo S",UN,0,,1,FD1400D082,ACTIVO</v>
      </c>
    </row>
    <row r="19" spans="1:10" x14ac:dyDescent="0.3">
      <c r="A19">
        <v>70107260</v>
      </c>
      <c r="B19" t="s">
        <v>17</v>
      </c>
      <c r="C19" t="s">
        <v>215</v>
      </c>
      <c r="D19">
        <v>47025</v>
      </c>
      <c r="F19">
        <v>1</v>
      </c>
      <c r="G19" t="s">
        <v>178</v>
      </c>
      <c r="H19" t="s">
        <v>184</v>
      </c>
      <c r="J19" t="str">
        <f t="shared" si="0"/>
        <v>70107260,"Traje Agua Impermeable plomo/amarillo M",UN,47025,,1,FD1400D082,ACTIVO</v>
      </c>
    </row>
    <row r="20" spans="1:10" x14ac:dyDescent="0.3">
      <c r="A20">
        <v>70107270</v>
      </c>
      <c r="B20" t="s">
        <v>18</v>
      </c>
      <c r="C20" t="s">
        <v>215</v>
      </c>
      <c r="D20">
        <v>62629</v>
      </c>
      <c r="F20">
        <v>1</v>
      </c>
      <c r="G20" t="s">
        <v>178</v>
      </c>
      <c r="H20" t="s">
        <v>184</v>
      </c>
      <c r="J20" t="str">
        <f t="shared" si="0"/>
        <v>70107270,"Traje Agua Impermeable plomo/amarillo L",UN,62629,,1,FD1400D082,ACTIVO</v>
      </c>
    </row>
    <row r="21" spans="1:10" x14ac:dyDescent="0.3">
      <c r="A21">
        <v>70107280</v>
      </c>
      <c r="B21" t="s">
        <v>19</v>
      </c>
      <c r="C21" t="s">
        <v>215</v>
      </c>
      <c r="D21">
        <v>63469</v>
      </c>
      <c r="F21">
        <v>1</v>
      </c>
      <c r="G21" t="s">
        <v>178</v>
      </c>
      <c r="H21" t="s">
        <v>184</v>
      </c>
      <c r="J21" t="str">
        <f t="shared" si="0"/>
        <v>70107280,"Traje Agua Impermeable plomo/amarillo XL",UN,63469,,1,FD1400D082,ACTIVO</v>
      </c>
    </row>
    <row r="22" spans="1:10" x14ac:dyDescent="0.3">
      <c r="A22">
        <v>70107290</v>
      </c>
      <c r="B22" t="s">
        <v>20</v>
      </c>
      <c r="C22" t="s">
        <v>215</v>
      </c>
      <c r="D22">
        <v>62450</v>
      </c>
      <c r="F22">
        <v>1</v>
      </c>
      <c r="G22" t="s">
        <v>178</v>
      </c>
      <c r="H22" t="s">
        <v>184</v>
      </c>
      <c r="J22" t="str">
        <f t="shared" si="0"/>
        <v>70107290,"Traje Agua Impermeable plomo/amarillo XXL",UN,62450,,1,FD1400D082,ACTIVO</v>
      </c>
    </row>
    <row r="23" spans="1:10" x14ac:dyDescent="0.3">
      <c r="A23">
        <v>70064070</v>
      </c>
      <c r="B23" t="s">
        <v>21</v>
      </c>
      <c r="C23" t="s">
        <v>215</v>
      </c>
      <c r="D23">
        <v>4793</v>
      </c>
      <c r="F23">
        <v>1</v>
      </c>
      <c r="G23" t="s">
        <v>178</v>
      </c>
      <c r="H23" t="s">
        <v>184</v>
      </c>
      <c r="J23" t="str">
        <f t="shared" si="0"/>
        <v>70064070,"Guante de trabajo Legend, mod. Pro131066",UN,4793,,1,FD1400D082,ACTIVO</v>
      </c>
    </row>
    <row r="24" spans="1:10" x14ac:dyDescent="0.3">
      <c r="A24">
        <v>70099170</v>
      </c>
      <c r="B24" t="s">
        <v>22</v>
      </c>
      <c r="C24" t="s">
        <v>215</v>
      </c>
      <c r="D24">
        <v>44958</v>
      </c>
      <c r="F24">
        <v>1</v>
      </c>
      <c r="G24" t="s">
        <v>178</v>
      </c>
      <c r="H24" t="s">
        <v>184</v>
      </c>
      <c r="J24" t="str">
        <f t="shared" si="0"/>
        <v>70099170,"Conector express 25 x 30cm 22 KN c/desl.",UN,44958,,1,FD1400D082,ACTIVO</v>
      </c>
    </row>
    <row r="25" spans="1:10" x14ac:dyDescent="0.3">
      <c r="A25">
        <v>70099200</v>
      </c>
      <c r="B25" t="s">
        <v>23</v>
      </c>
      <c r="C25" t="s">
        <v>215</v>
      </c>
      <c r="D25">
        <v>6558</v>
      </c>
      <c r="F25">
        <v>1</v>
      </c>
      <c r="G25" t="s">
        <v>178</v>
      </c>
      <c r="H25" t="s">
        <v>184</v>
      </c>
      <c r="J25" t="str">
        <f t="shared" si="0"/>
        <v>70099200,"Cuerda nylon torcido 8 mm x 15 mts.",UN,6558,,1,FD1400D082,ACTIVO</v>
      </c>
    </row>
    <row r="26" spans="1:10" x14ac:dyDescent="0.3">
      <c r="A26">
        <v>80018010</v>
      </c>
      <c r="B26" t="s">
        <v>24</v>
      </c>
      <c r="C26" t="s">
        <v>215</v>
      </c>
      <c r="D26">
        <v>89362</v>
      </c>
      <c r="F26">
        <v>1</v>
      </c>
      <c r="G26" t="s">
        <v>178</v>
      </c>
      <c r="H26" t="s">
        <v>184</v>
      </c>
      <c r="J26" t="str">
        <f t="shared" si="0"/>
        <v>80018010,"Detector Tension BT 6-690V AC/DC",UN,89362,,1,FD1400D082,ACTIVO</v>
      </c>
    </row>
    <row r="27" spans="1:10" x14ac:dyDescent="0.3">
      <c r="A27">
        <v>95026060</v>
      </c>
      <c r="B27" t="s">
        <v>25</v>
      </c>
      <c r="C27" t="s">
        <v>215</v>
      </c>
      <c r="D27">
        <v>0</v>
      </c>
      <c r="F27">
        <v>1</v>
      </c>
      <c r="G27" t="s">
        <v>178</v>
      </c>
      <c r="H27" t="s">
        <v>184</v>
      </c>
      <c r="J27" t="str">
        <f t="shared" si="0"/>
        <v>95026060,"Antena VHF p/Movil 136-174MHz",UN,0,,1,FD1400D082,ACTIVO</v>
      </c>
    </row>
    <row r="28" spans="1:10" x14ac:dyDescent="0.3">
      <c r="A28">
        <v>80034410</v>
      </c>
      <c r="B28" t="s">
        <v>26</v>
      </c>
      <c r="C28" t="s">
        <v>215</v>
      </c>
      <c r="D28">
        <v>129619</v>
      </c>
      <c r="F28">
        <v>1</v>
      </c>
      <c r="G28" t="s">
        <v>178</v>
      </c>
      <c r="H28" t="s">
        <v>184</v>
      </c>
      <c r="J28" t="str">
        <f t="shared" si="0"/>
        <v>80034410,"Baliza electroboscopica modelo 401 SF",UN,129619,,1,FD1400D082,ACTIVO</v>
      </c>
    </row>
    <row r="29" spans="1:10" x14ac:dyDescent="0.3">
      <c r="A29">
        <v>80055030</v>
      </c>
      <c r="B29" t="s">
        <v>27</v>
      </c>
      <c r="C29" t="s">
        <v>215</v>
      </c>
      <c r="D29">
        <v>40557</v>
      </c>
      <c r="F29">
        <v>1</v>
      </c>
      <c r="G29" t="s">
        <v>178</v>
      </c>
      <c r="H29" t="s">
        <v>184</v>
      </c>
      <c r="J29" t="str">
        <f t="shared" si="0"/>
        <v>80055030,"Candado no operar  AP, diámetro 4,76 mm - 38",UN,40557,,1,FD1400D082,ACTIVO</v>
      </c>
    </row>
    <row r="30" spans="1:10" x14ac:dyDescent="0.3">
      <c r="A30">
        <v>80005000</v>
      </c>
      <c r="B30" t="s">
        <v>28</v>
      </c>
      <c r="C30" t="s">
        <v>215</v>
      </c>
      <c r="D30">
        <v>16590</v>
      </c>
      <c r="F30">
        <v>3</v>
      </c>
      <c r="G30" t="s">
        <v>178</v>
      </c>
      <c r="H30" t="s">
        <v>184</v>
      </c>
      <c r="J30" t="str">
        <f t="shared" si="0"/>
        <v>80005000,"Letrero Octogonal No Operar 330x6mm",UN,16590,,3,FD1400D082,ACTIVO</v>
      </c>
    </row>
    <row r="31" spans="1:10" x14ac:dyDescent="0.3">
      <c r="A31">
        <v>80005001</v>
      </c>
      <c r="B31" t="s">
        <v>29</v>
      </c>
      <c r="C31" t="s">
        <v>215</v>
      </c>
      <c r="D31">
        <v>3812</v>
      </c>
      <c r="F31">
        <v>1</v>
      </c>
      <c r="G31" t="s">
        <v>178</v>
      </c>
      <c r="H31" t="s">
        <v>184</v>
      </c>
      <c r="J31" t="str">
        <f t="shared" si="0"/>
        <v>80005001,"Letrero Advert escaleras Logo SAESA",UN,3812,,1,FD1400D082,ACTIVO</v>
      </c>
    </row>
    <row r="32" spans="1:10" x14ac:dyDescent="0.3">
      <c r="A32">
        <v>80008170</v>
      </c>
      <c r="B32" t="s">
        <v>30</v>
      </c>
      <c r="C32" t="s">
        <v>215</v>
      </c>
      <c r="D32">
        <v>3962</v>
      </c>
      <c r="F32">
        <v>4</v>
      </c>
      <c r="G32" t="s">
        <v>178</v>
      </c>
      <c r="H32" t="s">
        <v>184</v>
      </c>
      <c r="J32" t="str">
        <f t="shared" si="0"/>
        <v>80008170,"Conos Señalizacion 28"Alto PVC",UN,3962,,4,FD1400D082,ACTIVO</v>
      </c>
    </row>
    <row r="33" spans="1:10" x14ac:dyDescent="0.3">
      <c r="A33">
        <v>70039000</v>
      </c>
      <c r="B33" t="s">
        <v>31</v>
      </c>
      <c r="C33" t="s">
        <v>215</v>
      </c>
      <c r="D33">
        <v>3447</v>
      </c>
      <c r="F33">
        <v>1</v>
      </c>
      <c r="G33" t="s">
        <v>178</v>
      </c>
      <c r="H33" t="s">
        <v>184</v>
      </c>
      <c r="J33" t="str">
        <f t="shared" si="0"/>
        <v>70039000,"Cinta PELIGRO p/cercar área trabajos",UN,3447,,1,FD1400D082,ACTIVO</v>
      </c>
    </row>
    <row r="34" spans="1:10" x14ac:dyDescent="0.3">
      <c r="A34">
        <v>80058750</v>
      </c>
      <c r="B34" t="s">
        <v>32</v>
      </c>
      <c r="C34" t="s">
        <v>215</v>
      </c>
      <c r="D34">
        <v>21380</v>
      </c>
      <c r="F34">
        <v>10</v>
      </c>
      <c r="G34" t="s">
        <v>178</v>
      </c>
      <c r="H34" t="s">
        <v>184</v>
      </c>
      <c r="J34" t="str">
        <f t="shared" si="0"/>
        <v>80058750,"Cubertor Gm p/Cond BT 1,5mt Lg",UN,21380,,10,FD1400D082,ACTIVO</v>
      </c>
    </row>
    <row r="35" spans="1:10" x14ac:dyDescent="0.3">
      <c r="A35">
        <v>80057001</v>
      </c>
      <c r="B35" t="s">
        <v>33</v>
      </c>
      <c r="C35" t="s">
        <v>215</v>
      </c>
      <c r="D35">
        <v>48739</v>
      </c>
      <c r="F35">
        <v>1</v>
      </c>
      <c r="G35" t="s">
        <v>178</v>
      </c>
      <c r="H35" t="s">
        <v>184</v>
      </c>
      <c r="J35" t="str">
        <f t="shared" si="0"/>
        <v>80057001,"Napoleon Lg 18" Stanley",UN,48739,,1,FD1400D082,ACTIVO</v>
      </c>
    </row>
    <row r="36" spans="1:10" x14ac:dyDescent="0.3">
      <c r="A36">
        <v>80050100</v>
      </c>
      <c r="B36" t="s">
        <v>34</v>
      </c>
      <c r="C36" t="s">
        <v>215</v>
      </c>
      <c r="D36">
        <v>8469</v>
      </c>
      <c r="F36">
        <v>1</v>
      </c>
      <c r="G36" t="s">
        <v>178</v>
      </c>
      <c r="H36" t="s">
        <v>184</v>
      </c>
      <c r="J36" t="str">
        <f t="shared" si="0"/>
        <v>80050100,"Marco de Sierra 12"",UN,8469,,1,FD1400D082,ACTIVO</v>
      </c>
    </row>
    <row r="37" spans="1:10" x14ac:dyDescent="0.3">
      <c r="A37">
        <v>80036371</v>
      </c>
      <c r="B37" t="s">
        <v>35</v>
      </c>
      <c r="C37" t="s">
        <v>215</v>
      </c>
      <c r="D37">
        <v>119719</v>
      </c>
      <c r="F37">
        <v>1</v>
      </c>
      <c r="G37" t="s">
        <v>178</v>
      </c>
      <c r="H37" t="s">
        <v>184</v>
      </c>
      <c r="J37" t="str">
        <f t="shared" si="0"/>
        <v>80036371,"Extractor Conec UDC CatPN5728821",UN,119719,,1,FD1400D082,ACTIVO</v>
      </c>
    </row>
    <row r="38" spans="1:10" x14ac:dyDescent="0.3">
      <c r="A38">
        <v>80002300</v>
      </c>
      <c r="B38" t="s">
        <v>36</v>
      </c>
      <c r="C38" t="s">
        <v>215</v>
      </c>
      <c r="D38">
        <v>75015</v>
      </c>
      <c r="F38">
        <v>1</v>
      </c>
      <c r="G38" t="s">
        <v>178</v>
      </c>
      <c r="H38" t="s">
        <v>184</v>
      </c>
      <c r="J38" t="str">
        <f t="shared" si="0"/>
        <v>80002300,"Alikatro para conector Katro",UN,75015,,1,FD1400D082,ACTIVO</v>
      </c>
    </row>
    <row r="39" spans="1:10" x14ac:dyDescent="0.3">
      <c r="A39">
        <v>80004020</v>
      </c>
      <c r="B39" t="s">
        <v>37</v>
      </c>
      <c r="C39" t="s">
        <v>215</v>
      </c>
      <c r="D39">
        <v>16008</v>
      </c>
      <c r="F39">
        <v>1</v>
      </c>
      <c r="G39" t="s">
        <v>178</v>
      </c>
      <c r="H39" t="s">
        <v>184</v>
      </c>
      <c r="J39" t="str">
        <f t="shared" si="0"/>
        <v>80004020,"Alicate Pico loro 12" Conec UDC",UN,16008,,1,FD1400D082,ACTIVO</v>
      </c>
    </row>
    <row r="40" spans="1:10" x14ac:dyDescent="0.3">
      <c r="A40">
        <v>80052000</v>
      </c>
      <c r="B40" t="s">
        <v>38</v>
      </c>
      <c r="C40" t="s">
        <v>215</v>
      </c>
      <c r="D40">
        <v>7159</v>
      </c>
      <c r="F40">
        <v>1</v>
      </c>
      <c r="G40" t="s">
        <v>178</v>
      </c>
      <c r="H40" t="s">
        <v>184</v>
      </c>
      <c r="J40" t="str">
        <f t="shared" si="0"/>
        <v>80052000,"Llave Seg Caja BT 5 Puntas",UN,7159,,1,FD1400D082,ACTIVO</v>
      </c>
    </row>
    <row r="41" spans="1:10" x14ac:dyDescent="0.3">
      <c r="A41">
        <v>80055020</v>
      </c>
      <c r="B41" t="s">
        <v>39</v>
      </c>
      <c r="C41" t="s">
        <v>215</v>
      </c>
      <c r="D41">
        <v>10552</v>
      </c>
      <c r="F41">
        <v>1</v>
      </c>
      <c r="G41" t="s">
        <v>178</v>
      </c>
      <c r="H41" t="s">
        <v>184</v>
      </c>
      <c r="J41" t="str">
        <f t="shared" si="0"/>
        <v>80055020,"Martillo Peña 1Lbr Stanley",UN,10552,,1,FD1400D082,ACTIVO</v>
      </c>
    </row>
    <row r="42" spans="1:10" x14ac:dyDescent="0.3">
      <c r="A42">
        <v>80085020</v>
      </c>
      <c r="B42" t="s">
        <v>40</v>
      </c>
      <c r="C42" t="s">
        <v>215</v>
      </c>
      <c r="D42">
        <v>173746</v>
      </c>
      <c r="F42">
        <v>2</v>
      </c>
      <c r="G42" t="s">
        <v>178</v>
      </c>
      <c r="H42" t="s">
        <v>184</v>
      </c>
      <c r="J42" t="str">
        <f t="shared" si="0"/>
        <v>80085020,"Tiracable Ca Des Cu-Ace",UN,173746,,2,FD1400D082,ACTIVO</v>
      </c>
    </row>
    <row r="43" spans="1:10" x14ac:dyDescent="0.3">
      <c r="A43">
        <v>80085050</v>
      </c>
      <c r="B43" t="s">
        <v>41</v>
      </c>
      <c r="C43" t="s">
        <v>215</v>
      </c>
      <c r="D43">
        <v>133980</v>
      </c>
      <c r="F43">
        <v>2</v>
      </c>
      <c r="G43" t="s">
        <v>178</v>
      </c>
      <c r="H43" t="s">
        <v>184</v>
      </c>
      <c r="J43" t="str">
        <f t="shared" si="0"/>
        <v>80085050,"Tiracable Mordaza 8AWG-250MCM",UN,133980,,2,FD1400D082,ACTIVO</v>
      </c>
    </row>
    <row r="44" spans="1:10" x14ac:dyDescent="0.3">
      <c r="A44">
        <v>80085130</v>
      </c>
      <c r="B44" t="s">
        <v>42</v>
      </c>
      <c r="C44" t="s">
        <v>215</v>
      </c>
      <c r="D44">
        <v>204501</v>
      </c>
      <c r="F44">
        <v>2</v>
      </c>
      <c r="G44" t="s">
        <v>178</v>
      </c>
      <c r="H44" t="s">
        <v>184</v>
      </c>
      <c r="J44" t="str">
        <f t="shared" si="0"/>
        <v>80085130,"Tiracable Mordaza Ca 1-4/0AWG",UN,204501,,2,FD1400D082,ACTIVO</v>
      </c>
    </row>
    <row r="45" spans="1:10" x14ac:dyDescent="0.3">
      <c r="A45">
        <v>80151102</v>
      </c>
      <c r="B45" t="s">
        <v>43</v>
      </c>
      <c r="C45" t="s">
        <v>215</v>
      </c>
      <c r="D45">
        <v>19534</v>
      </c>
      <c r="F45">
        <v>1</v>
      </c>
      <c r="G45" t="s">
        <v>178</v>
      </c>
      <c r="H45" t="s">
        <v>184</v>
      </c>
      <c r="J45" t="str">
        <f t="shared" si="0"/>
        <v>80151102,"Polea Spl 3" p/Msjro s/fin",UN,19534,,1,FD1400D082,ACTIVO</v>
      </c>
    </row>
    <row r="46" spans="1:10" x14ac:dyDescent="0.3">
      <c r="A46">
        <v>80151112</v>
      </c>
      <c r="B46" t="s">
        <v>44</v>
      </c>
      <c r="C46" t="s">
        <v>215</v>
      </c>
      <c r="D46">
        <v>29789</v>
      </c>
      <c r="F46">
        <v>1</v>
      </c>
      <c r="G46" t="s">
        <v>178</v>
      </c>
      <c r="H46" t="s">
        <v>184</v>
      </c>
      <c r="J46" t="str">
        <f t="shared" si="0"/>
        <v>80151112,"Perlon Trenzado 5/8" 25mt",UN,29789,,1,FD1400D082,ACTIVO</v>
      </c>
    </row>
    <row r="47" spans="1:10" x14ac:dyDescent="0.3">
      <c r="A47">
        <v>80029180</v>
      </c>
      <c r="B47" t="s">
        <v>45</v>
      </c>
      <c r="C47" t="s">
        <v>215</v>
      </c>
      <c r="D47">
        <v>11309</v>
      </c>
      <c r="F47">
        <v>2</v>
      </c>
      <c r="G47" t="s">
        <v>178</v>
      </c>
      <c r="H47" t="s">
        <v>184</v>
      </c>
      <c r="J47" t="str">
        <f t="shared" si="0"/>
        <v>80029180,"Estrobos Diam 5/16" x 0,7mt Lg",UN,11309,,2,FD1400D082,ACTIVO</v>
      </c>
    </row>
    <row r="48" spans="1:10" x14ac:dyDescent="0.3">
      <c r="A48">
        <v>80035002</v>
      </c>
      <c r="B48" t="s">
        <v>46</v>
      </c>
      <c r="C48" t="s">
        <v>215</v>
      </c>
      <c r="D48">
        <v>26300</v>
      </c>
      <c r="F48">
        <v>1</v>
      </c>
      <c r="G48" t="s">
        <v>178</v>
      </c>
      <c r="H48" t="s">
        <v>184</v>
      </c>
      <c r="J48" t="str">
        <f t="shared" si="0"/>
        <v>80035002,"Funda p/Pert Tlsc 190x18cm",UN,26300,,1,FD1400D082,ACTIVO</v>
      </c>
    </row>
    <row r="49" spans="1:10" x14ac:dyDescent="0.3">
      <c r="A49">
        <v>80035003</v>
      </c>
      <c r="B49" t="s">
        <v>47</v>
      </c>
      <c r="C49" t="s">
        <v>215</v>
      </c>
      <c r="D49">
        <v>31636</v>
      </c>
      <c r="F49">
        <v>1</v>
      </c>
      <c r="G49" t="s">
        <v>178</v>
      </c>
      <c r="H49" t="s">
        <v>184</v>
      </c>
      <c r="J49" t="str">
        <f t="shared" si="0"/>
        <v>80035003,"Funda p/Pert 3 Cpo 190x30cm",UN,31636,,1,FD1400D082,ACTIVO</v>
      </c>
    </row>
    <row r="50" spans="1:10" x14ac:dyDescent="0.3">
      <c r="A50">
        <v>80035004</v>
      </c>
      <c r="B50" t="s">
        <v>48</v>
      </c>
      <c r="C50" t="s">
        <v>215</v>
      </c>
      <c r="D50">
        <v>33221</v>
      </c>
      <c r="F50">
        <v>2</v>
      </c>
      <c r="G50" t="s">
        <v>178</v>
      </c>
      <c r="H50" t="s">
        <v>184</v>
      </c>
      <c r="J50" t="str">
        <f t="shared" si="0"/>
        <v>80035004,"Funda p/Puesta tierra MT 190x100cm",UN,33221,,2,FD1400D082,ACTIVO</v>
      </c>
    </row>
    <row r="51" spans="1:10" x14ac:dyDescent="0.3">
      <c r="A51">
        <v>80035005</v>
      </c>
      <c r="B51" t="s">
        <v>49</v>
      </c>
      <c r="C51" t="s">
        <v>215</v>
      </c>
      <c r="D51">
        <v>27758</v>
      </c>
      <c r="F51">
        <v>4</v>
      </c>
      <c r="G51" t="s">
        <v>178</v>
      </c>
      <c r="H51" t="s">
        <v>184</v>
      </c>
      <c r="J51" t="str">
        <f t="shared" si="0"/>
        <v>80035005,"Funda p/Tierra BT 190x17cm",UN,27758,,4,FD1400D082,ACTIVO</v>
      </c>
    </row>
    <row r="52" spans="1:10" x14ac:dyDescent="0.3">
      <c r="A52">
        <v>80035006</v>
      </c>
      <c r="B52" t="s">
        <v>50</v>
      </c>
      <c r="C52" t="s">
        <v>215</v>
      </c>
      <c r="D52">
        <v>21637</v>
      </c>
      <c r="F52">
        <v>1</v>
      </c>
      <c r="G52" t="s">
        <v>178</v>
      </c>
      <c r="H52" t="s">
        <v>184</v>
      </c>
      <c r="J52" t="str">
        <f t="shared" si="0"/>
        <v>80035006,"Funda p/Pert BT 130x12cm",UN,21637,,1,FD1400D082,ACTIVO</v>
      </c>
    </row>
    <row r="53" spans="1:10" x14ac:dyDescent="0.3">
      <c r="A53">
        <v>80000970</v>
      </c>
      <c r="B53" t="s">
        <v>51</v>
      </c>
      <c r="C53" t="s">
        <v>215</v>
      </c>
      <c r="D53">
        <v>0</v>
      </c>
      <c r="G53" t="s">
        <v>178</v>
      </c>
      <c r="H53" t="s">
        <v>184</v>
      </c>
      <c r="J53" t="str">
        <f t="shared" si="0"/>
        <v>80000970,"Cubierta para aislador espiga 25 Kv",UN,0,,,FD1400D082,ACTIVO</v>
      </c>
    </row>
    <row r="54" spans="1:10" x14ac:dyDescent="0.3">
      <c r="A54">
        <v>80000990</v>
      </c>
      <c r="B54" t="s">
        <v>52</v>
      </c>
      <c r="C54" t="s">
        <v>215</v>
      </c>
      <c r="D54">
        <v>218247</v>
      </c>
      <c r="G54" t="s">
        <v>178</v>
      </c>
      <c r="H54" t="s">
        <v>184</v>
      </c>
      <c r="J54" t="str">
        <f t="shared" si="0"/>
        <v>80000990,"Cubierta rigida para conductor 25 Kv",UN,218247,,,FD1400D082,ACTIVO</v>
      </c>
    </row>
    <row r="55" spans="1:10" x14ac:dyDescent="0.3">
      <c r="A55">
        <v>70035050</v>
      </c>
      <c r="B55" t="s">
        <v>53</v>
      </c>
      <c r="C55" t="s">
        <v>215</v>
      </c>
      <c r="D55">
        <v>14988</v>
      </c>
      <c r="F55">
        <v>1</v>
      </c>
      <c r="G55" t="s">
        <v>178</v>
      </c>
      <c r="H55" t="s">
        <v>184</v>
      </c>
      <c r="J55" t="str">
        <f t="shared" si="0"/>
        <v>70035050,"Casco Seg Ala Cmpt Amarillo + Suspen. y Barboquejo.",UN,14988,,1,FD1400D082,ACTIVO</v>
      </c>
    </row>
    <row r="56" spans="1:10" x14ac:dyDescent="0.3">
      <c r="A56">
        <v>70036200</v>
      </c>
      <c r="B56" t="s">
        <v>54</v>
      </c>
      <c r="C56" t="s">
        <v>215</v>
      </c>
      <c r="D56">
        <v>60076</v>
      </c>
      <c r="F56">
        <v>1</v>
      </c>
      <c r="G56" t="s">
        <v>178</v>
      </c>
      <c r="H56" t="s">
        <v>184</v>
      </c>
      <c r="J56" t="str">
        <f t="shared" si="0"/>
        <v>70036200,"Casco Seg Cmpt Prot Oido-Facial",UN,60076,,1,FD1400D082,ACTIVO</v>
      </c>
    </row>
    <row r="57" spans="1:10" x14ac:dyDescent="0.3">
      <c r="A57">
        <v>70095020</v>
      </c>
      <c r="B57" t="s">
        <v>55</v>
      </c>
      <c r="C57" t="s">
        <v>215</v>
      </c>
      <c r="D57">
        <v>3412</v>
      </c>
      <c r="F57">
        <v>1</v>
      </c>
      <c r="G57" t="s">
        <v>178</v>
      </c>
      <c r="H57" t="s">
        <v>184</v>
      </c>
      <c r="J57" t="str">
        <f t="shared" si="0"/>
        <v>70095020,"Suspensión Rpst Cco Seg V-Gard",UN,3412,,1,FD1400D082,ACTIVO</v>
      </c>
    </row>
    <row r="58" spans="1:10" x14ac:dyDescent="0.3">
      <c r="A58">
        <v>70020020</v>
      </c>
      <c r="B58" t="s">
        <v>56</v>
      </c>
      <c r="C58" t="s">
        <v>215</v>
      </c>
      <c r="D58">
        <v>1554</v>
      </c>
      <c r="F58">
        <v>1</v>
      </c>
      <c r="G58" t="s">
        <v>178</v>
      </c>
      <c r="H58" t="s">
        <v>184</v>
      </c>
      <c r="J58" t="str">
        <f t="shared" si="0"/>
        <v>70020020,"Barboquejo Casco Seg Ele MSA",UN,1554,,1,FD1400D082,ACTIVO</v>
      </c>
    </row>
    <row r="59" spans="1:10" x14ac:dyDescent="0.3">
      <c r="A59">
        <v>70056020</v>
      </c>
      <c r="B59" t="s">
        <v>57</v>
      </c>
      <c r="C59" t="s">
        <v>215</v>
      </c>
      <c r="D59">
        <v>15615</v>
      </c>
      <c r="F59">
        <v>1</v>
      </c>
      <c r="G59" t="s">
        <v>178</v>
      </c>
      <c r="H59" t="s">
        <v>184</v>
      </c>
      <c r="J59" t="str">
        <f t="shared" si="0"/>
        <v>70056020,"Gorro Prot Frio c/Cco Seg",UN,15615,,1,FD1400D082,ACTIVO</v>
      </c>
    </row>
    <row r="60" spans="1:10" x14ac:dyDescent="0.3">
      <c r="A60">
        <v>70056030</v>
      </c>
      <c r="B60" t="s">
        <v>58</v>
      </c>
      <c r="C60" t="s">
        <v>215</v>
      </c>
      <c r="D60">
        <v>9264</v>
      </c>
      <c r="F60">
        <v>1</v>
      </c>
      <c r="G60" t="s">
        <v>178</v>
      </c>
      <c r="H60" t="s">
        <v>184</v>
      </c>
      <c r="J60" t="str">
        <f t="shared" si="0"/>
        <v>70056030,"Legionario p/casco, naranjo, 7,5 onzas A",UN,9264,,1,FD1400D082,ACTIVO</v>
      </c>
    </row>
    <row r="61" spans="1:10" x14ac:dyDescent="0.3">
      <c r="A61">
        <v>70056040</v>
      </c>
      <c r="B61" t="s">
        <v>59</v>
      </c>
      <c r="C61" t="s">
        <v>215</v>
      </c>
      <c r="D61">
        <v>17911</v>
      </c>
      <c r="F61">
        <v>1</v>
      </c>
      <c r="G61" t="s">
        <v>178</v>
      </c>
      <c r="H61" t="s">
        <v>184</v>
      </c>
      <c r="J61" t="str">
        <f t="shared" si="0"/>
        <v>70056040,"Esclavina para trabajos en distribución.",UN,17911,,1,FD1400D082,ACTIVO</v>
      </c>
    </row>
    <row r="62" spans="1:10" x14ac:dyDescent="0.3">
      <c r="A62">
        <v>70004120</v>
      </c>
      <c r="B62" t="s">
        <v>60</v>
      </c>
      <c r="C62" t="s">
        <v>215</v>
      </c>
      <c r="D62">
        <v>8663</v>
      </c>
      <c r="F62">
        <v>1</v>
      </c>
      <c r="G62" t="s">
        <v>178</v>
      </c>
      <c r="H62" t="s">
        <v>184</v>
      </c>
      <c r="J62" t="str">
        <f t="shared" si="0"/>
        <v>70004120,"Emulsión Oil/Water UVA/UVB SPF50+ 220grs",UN,8663,,1,FD1400D082,ACTIVO</v>
      </c>
    </row>
    <row r="63" spans="1:10" x14ac:dyDescent="0.3">
      <c r="A63">
        <v>70005124</v>
      </c>
      <c r="B63" t="s">
        <v>61</v>
      </c>
      <c r="C63" t="s">
        <v>215</v>
      </c>
      <c r="D63">
        <v>2762</v>
      </c>
      <c r="F63">
        <v>1</v>
      </c>
      <c r="G63" t="s">
        <v>178</v>
      </c>
      <c r="H63" t="s">
        <v>184</v>
      </c>
      <c r="J63" t="str">
        <f t="shared" si="0"/>
        <v>70005124,"Gafa Seguridad sbr LteOpt Claro c/Cg",UN,2762,,1,FD1400D082,ACTIVO</v>
      </c>
    </row>
    <row r="64" spans="1:10" x14ac:dyDescent="0.3">
      <c r="A64">
        <v>70005125</v>
      </c>
      <c r="B64" t="s">
        <v>62</v>
      </c>
      <c r="C64" t="s">
        <v>215</v>
      </c>
      <c r="D64">
        <v>3560</v>
      </c>
      <c r="F64">
        <v>1</v>
      </c>
      <c r="G64" t="s">
        <v>178</v>
      </c>
      <c r="H64" t="s">
        <v>184</v>
      </c>
      <c r="J64" t="str">
        <f t="shared" si="0"/>
        <v>70005125,"Funda Trpte Lente Seg Capc 2 Pares",UN,3560,,1,FD1400D082,ACTIVO</v>
      </c>
    </row>
    <row r="65" spans="1:10" x14ac:dyDescent="0.3">
      <c r="A65">
        <v>70400009</v>
      </c>
      <c r="B65" t="s">
        <v>63</v>
      </c>
      <c r="C65" t="s">
        <v>215</v>
      </c>
      <c r="D65">
        <v>11414</v>
      </c>
      <c r="F65">
        <v>1</v>
      </c>
      <c r="G65" t="s">
        <v>178</v>
      </c>
      <c r="H65" t="s">
        <v>184</v>
      </c>
      <c r="J65" t="str">
        <f t="shared" si="0"/>
        <v>70400009,"Chaleco de alta visibilidad amarillo S",UN,11414,,1,FD1400D082,ACTIVO</v>
      </c>
    </row>
    <row r="66" spans="1:10" x14ac:dyDescent="0.3">
      <c r="A66">
        <v>70400010</v>
      </c>
      <c r="B66" t="s">
        <v>64</v>
      </c>
      <c r="C66" t="s">
        <v>215</v>
      </c>
      <c r="D66">
        <v>11497</v>
      </c>
      <c r="F66">
        <v>1</v>
      </c>
      <c r="G66" t="s">
        <v>178</v>
      </c>
      <c r="H66" t="s">
        <v>184</v>
      </c>
      <c r="J66" t="str">
        <f t="shared" si="0"/>
        <v>70400010,"Chaleco de alta visibilidad amarillo M",UN,11497,,1,FD1400D082,ACTIVO</v>
      </c>
    </row>
    <row r="67" spans="1:10" x14ac:dyDescent="0.3">
      <c r="A67">
        <v>70400020</v>
      </c>
      <c r="B67" t="s">
        <v>65</v>
      </c>
      <c r="C67" t="s">
        <v>215</v>
      </c>
      <c r="D67">
        <v>11524</v>
      </c>
      <c r="F67">
        <v>1</v>
      </c>
      <c r="G67" t="s">
        <v>178</v>
      </c>
      <c r="H67" t="s">
        <v>184</v>
      </c>
      <c r="J67" t="str">
        <f t="shared" ref="J67:J130" si="1">A67 &amp; "," &amp; """" &amp; B67 &amp; """" &amp; "," &amp; C67 &amp; "," &amp; D67 &amp; "," &amp; E67 &amp; "," &amp; F67 &amp; "," &amp; G67 &amp; "," &amp; H67</f>
        <v>70400020,"Chaleco de alta visibilidad amarillo L",UN,11524,,1,FD1400D082,ACTIVO</v>
      </c>
    </row>
    <row r="68" spans="1:10" x14ac:dyDescent="0.3">
      <c r="A68">
        <v>70400030</v>
      </c>
      <c r="B68" t="s">
        <v>66</v>
      </c>
      <c r="C68" t="s">
        <v>215</v>
      </c>
      <c r="D68">
        <v>11356</v>
      </c>
      <c r="F68">
        <v>1</v>
      </c>
      <c r="G68" t="s">
        <v>178</v>
      </c>
      <c r="H68" t="s">
        <v>184</v>
      </c>
      <c r="J68" t="str">
        <f t="shared" si="1"/>
        <v>70400030,"Chaleco de alta visibilidad amarillo XL",UN,11356,,1,FD1400D082,ACTIVO</v>
      </c>
    </row>
    <row r="69" spans="1:10" x14ac:dyDescent="0.3">
      <c r="A69">
        <v>70400040</v>
      </c>
      <c r="B69" t="s">
        <v>67</v>
      </c>
      <c r="C69" t="s">
        <v>215</v>
      </c>
      <c r="D69">
        <v>11483</v>
      </c>
      <c r="F69">
        <v>1</v>
      </c>
      <c r="G69" t="s">
        <v>178</v>
      </c>
      <c r="H69" t="s">
        <v>184</v>
      </c>
      <c r="J69" t="str">
        <f t="shared" si="1"/>
        <v>70400040,"Chaleco de alta visibilidad amarillo XXL",UN,11483,,1,FD1400D082,ACTIVO</v>
      </c>
    </row>
    <row r="70" spans="1:10" x14ac:dyDescent="0.3">
      <c r="A70">
        <v>70091000</v>
      </c>
      <c r="B70" t="s">
        <v>68</v>
      </c>
      <c r="C70" t="s">
        <v>215</v>
      </c>
      <c r="D70">
        <v>96470</v>
      </c>
      <c r="F70">
        <v>1</v>
      </c>
      <c r="G70" t="s">
        <v>178</v>
      </c>
      <c r="H70" t="s">
        <v>184</v>
      </c>
      <c r="J70" t="str">
        <f t="shared" si="1"/>
        <v>70091000,"Chaqueta 100% Imp. Igni. FLUOR.Talla S",UN,96470,,1,FD1400D082,ACTIVO</v>
      </c>
    </row>
    <row r="71" spans="1:10" x14ac:dyDescent="0.3">
      <c r="A71">
        <v>70091010</v>
      </c>
      <c r="B71" t="s">
        <v>69</v>
      </c>
      <c r="C71" t="s">
        <v>215</v>
      </c>
      <c r="D71">
        <v>87698</v>
      </c>
      <c r="F71">
        <v>1</v>
      </c>
      <c r="G71" t="s">
        <v>178</v>
      </c>
      <c r="H71" t="s">
        <v>184</v>
      </c>
      <c r="J71" t="str">
        <f t="shared" si="1"/>
        <v>70091010,"Chaqueta 100% Imp.  Igni. FLUOR Talla M",UN,87698,,1,FD1400D082,ACTIVO</v>
      </c>
    </row>
    <row r="72" spans="1:10" x14ac:dyDescent="0.3">
      <c r="A72">
        <v>70091020</v>
      </c>
      <c r="B72" t="s">
        <v>70</v>
      </c>
      <c r="C72" t="s">
        <v>215</v>
      </c>
      <c r="D72">
        <v>94816</v>
      </c>
      <c r="F72">
        <v>1</v>
      </c>
      <c r="G72" t="s">
        <v>178</v>
      </c>
      <c r="H72" t="s">
        <v>184</v>
      </c>
      <c r="J72" t="str">
        <f t="shared" si="1"/>
        <v>70091020,"Chaqueta 100% Imp. Igní. FLUOR talla L",UN,94816,,1,FD1400D082,ACTIVO</v>
      </c>
    </row>
    <row r="73" spans="1:10" x14ac:dyDescent="0.3">
      <c r="A73">
        <v>70091030</v>
      </c>
      <c r="B73" t="s">
        <v>71</v>
      </c>
      <c r="C73" t="s">
        <v>215</v>
      </c>
      <c r="D73">
        <v>93770</v>
      </c>
      <c r="F73">
        <v>1</v>
      </c>
      <c r="G73" t="s">
        <v>178</v>
      </c>
      <c r="H73" t="s">
        <v>184</v>
      </c>
      <c r="J73" t="str">
        <f t="shared" si="1"/>
        <v>70091030,"Chaqueta 100% Imp. Igní. FLUOR talla XL",UN,93770,,1,FD1400D082,ACTIVO</v>
      </c>
    </row>
    <row r="74" spans="1:10" x14ac:dyDescent="0.3">
      <c r="A74">
        <v>70091040</v>
      </c>
      <c r="B74" t="s">
        <v>72</v>
      </c>
      <c r="C74" t="s">
        <v>215</v>
      </c>
      <c r="D74">
        <v>97346</v>
      </c>
      <c r="F74">
        <v>1</v>
      </c>
      <c r="G74" t="s">
        <v>178</v>
      </c>
      <c r="H74" t="s">
        <v>184</v>
      </c>
      <c r="J74" t="str">
        <f t="shared" si="1"/>
        <v>70091040,"Chaqueta 100% Imp. Igni. FLUOR Talla XXL",UN,97346,,1,FD1400D082,ACTIVO</v>
      </c>
    </row>
    <row r="75" spans="1:10" x14ac:dyDescent="0.3">
      <c r="A75">
        <v>70075210</v>
      </c>
      <c r="B75" t="s">
        <v>73</v>
      </c>
      <c r="C75" t="s">
        <v>215</v>
      </c>
      <c r="D75">
        <v>84607</v>
      </c>
      <c r="F75">
        <v>1</v>
      </c>
      <c r="G75" t="s">
        <v>178</v>
      </c>
      <c r="H75" t="s">
        <v>184</v>
      </c>
      <c r="J75" t="str">
        <f t="shared" si="1"/>
        <v>70075210,"Overol p/lluvia ignífugo FLUOR, Talla S",UN,84607,,1,FD1400D082,ACTIVO</v>
      </c>
    </row>
    <row r="76" spans="1:10" x14ac:dyDescent="0.3">
      <c r="A76">
        <v>70075220</v>
      </c>
      <c r="B76" t="s">
        <v>74</v>
      </c>
      <c r="C76" t="s">
        <v>215</v>
      </c>
      <c r="D76">
        <v>84378</v>
      </c>
      <c r="F76">
        <v>1</v>
      </c>
      <c r="G76" t="s">
        <v>178</v>
      </c>
      <c r="H76" t="s">
        <v>184</v>
      </c>
      <c r="J76" t="str">
        <f t="shared" si="1"/>
        <v>70075220,"Overol p/lluvia ignífugo FLUOR, Talla M",UN,84378,,1,FD1400D082,ACTIVO</v>
      </c>
    </row>
    <row r="77" spans="1:10" x14ac:dyDescent="0.3">
      <c r="A77">
        <v>70075230</v>
      </c>
      <c r="B77" t="s">
        <v>75</v>
      </c>
      <c r="C77" t="s">
        <v>215</v>
      </c>
      <c r="D77">
        <v>84247</v>
      </c>
      <c r="F77">
        <v>1</v>
      </c>
      <c r="G77" t="s">
        <v>178</v>
      </c>
      <c r="H77" t="s">
        <v>184</v>
      </c>
      <c r="J77" t="str">
        <f t="shared" si="1"/>
        <v>70075230,"Overol p/lluvia ignífugo FLUOR, Talla L",UN,84247,,1,FD1400D082,ACTIVO</v>
      </c>
    </row>
    <row r="78" spans="1:10" x14ac:dyDescent="0.3">
      <c r="A78">
        <v>70075240</v>
      </c>
      <c r="B78" t="s">
        <v>76</v>
      </c>
      <c r="C78" t="s">
        <v>215</v>
      </c>
      <c r="D78">
        <v>84149</v>
      </c>
      <c r="F78">
        <v>1</v>
      </c>
      <c r="G78" t="s">
        <v>178</v>
      </c>
      <c r="H78" t="s">
        <v>184</v>
      </c>
      <c r="J78" t="str">
        <f t="shared" si="1"/>
        <v>70075240,"Overol p/lluvia ignífugo FLUOR, Talla XL",UN,84149,,1,FD1400D082,ACTIVO</v>
      </c>
    </row>
    <row r="79" spans="1:10" x14ac:dyDescent="0.3">
      <c r="A79">
        <v>70075250</v>
      </c>
      <c r="B79" t="s">
        <v>77</v>
      </c>
      <c r="C79" t="s">
        <v>215</v>
      </c>
      <c r="D79">
        <v>84149</v>
      </c>
      <c r="F79">
        <v>1</v>
      </c>
      <c r="G79" t="s">
        <v>178</v>
      </c>
      <c r="H79" t="s">
        <v>184</v>
      </c>
      <c r="J79" t="str">
        <f t="shared" si="1"/>
        <v>70075250,"Overol p/lluvia ignífugo FLUOR,Talla XXL",UN,84149,,1,FD1400D082,ACTIVO</v>
      </c>
    </row>
    <row r="80" spans="1:10" x14ac:dyDescent="0.3">
      <c r="A80">
        <v>70082200</v>
      </c>
      <c r="B80" t="s">
        <v>78</v>
      </c>
      <c r="C80" t="s">
        <v>215</v>
      </c>
      <c r="D80">
        <v>110001</v>
      </c>
      <c r="F80">
        <v>1</v>
      </c>
      <c r="G80" t="s">
        <v>178</v>
      </c>
      <c r="H80" t="s">
        <v>184</v>
      </c>
      <c r="J80" t="str">
        <f t="shared" si="1"/>
        <v>70082200,"Parka Ignífuga Term. bicolor mod.SAESA S",UN,110001,,1,FD1400D082,ACTIVO</v>
      </c>
    </row>
    <row r="81" spans="1:10" x14ac:dyDescent="0.3">
      <c r="A81">
        <v>70082210</v>
      </c>
      <c r="B81" t="s">
        <v>79</v>
      </c>
      <c r="C81" t="s">
        <v>215</v>
      </c>
      <c r="D81">
        <v>106191</v>
      </c>
      <c r="F81">
        <v>1</v>
      </c>
      <c r="G81" t="s">
        <v>178</v>
      </c>
      <c r="H81" t="s">
        <v>184</v>
      </c>
      <c r="J81" t="str">
        <f t="shared" si="1"/>
        <v>70082210,"Parka Ignífuga Term. bicolor mod.SAESA M",UN,106191,,1,FD1400D082,ACTIVO</v>
      </c>
    </row>
    <row r="82" spans="1:10" x14ac:dyDescent="0.3">
      <c r="A82">
        <v>70082220</v>
      </c>
      <c r="B82" t="s">
        <v>80</v>
      </c>
      <c r="C82" t="s">
        <v>215</v>
      </c>
      <c r="D82">
        <v>84728</v>
      </c>
      <c r="F82">
        <v>1</v>
      </c>
      <c r="G82" t="s">
        <v>178</v>
      </c>
      <c r="H82" t="s">
        <v>184</v>
      </c>
      <c r="J82" t="str">
        <f t="shared" si="1"/>
        <v>70082220,"Parka Ignífuga Term. bicolor mod.SAESA L",UN,84728,,1,FD1400D082,ACTIVO</v>
      </c>
    </row>
    <row r="83" spans="1:10" x14ac:dyDescent="0.3">
      <c r="A83">
        <v>70082230</v>
      </c>
      <c r="B83" t="s">
        <v>81</v>
      </c>
      <c r="C83" t="s">
        <v>215</v>
      </c>
      <c r="D83">
        <v>101147</v>
      </c>
      <c r="F83">
        <v>1</v>
      </c>
      <c r="G83" t="s">
        <v>178</v>
      </c>
      <c r="H83" t="s">
        <v>184</v>
      </c>
      <c r="J83" t="str">
        <f t="shared" si="1"/>
        <v>70082230,"Parka Ignífuga Term. bicolor mod.SAESAXL",UN,101147,,1,FD1400D082,ACTIVO</v>
      </c>
    </row>
    <row r="84" spans="1:10" x14ac:dyDescent="0.3">
      <c r="A84">
        <v>70082240</v>
      </c>
      <c r="B84" t="s">
        <v>82</v>
      </c>
      <c r="C84" t="s">
        <v>215</v>
      </c>
      <c r="D84">
        <v>81479</v>
      </c>
      <c r="F84">
        <v>1</v>
      </c>
      <c r="G84" t="s">
        <v>178</v>
      </c>
      <c r="H84" t="s">
        <v>184</v>
      </c>
      <c r="J84" t="str">
        <f t="shared" si="1"/>
        <v>70082240,"Parka Ignífuga Term. bicolor mod.SAESA XXL",UN,81479,,1,FD1400D082,ACTIVO</v>
      </c>
    </row>
    <row r="85" spans="1:10" x14ac:dyDescent="0.3">
      <c r="A85">
        <v>70090450</v>
      </c>
      <c r="B85" t="s">
        <v>83</v>
      </c>
      <c r="C85" t="s">
        <v>215</v>
      </c>
      <c r="D85">
        <v>68283</v>
      </c>
      <c r="F85">
        <v>2</v>
      </c>
      <c r="G85" t="s">
        <v>178</v>
      </c>
      <c r="H85" t="s">
        <v>184</v>
      </c>
      <c r="J85" t="str">
        <f t="shared" si="1"/>
        <v>70090450,"CHAQUETA IGNÍFUGA CORTA BIC. MOD.SAESA S",UN,68283,,2,FD1400D082,ACTIVO</v>
      </c>
    </row>
    <row r="86" spans="1:10" x14ac:dyDescent="0.3">
      <c r="A86">
        <v>70090460</v>
      </c>
      <c r="B86" t="s">
        <v>84</v>
      </c>
      <c r="C86" t="s">
        <v>215</v>
      </c>
      <c r="D86">
        <v>68317</v>
      </c>
      <c r="F86">
        <v>2</v>
      </c>
      <c r="G86" t="s">
        <v>178</v>
      </c>
      <c r="H86" t="s">
        <v>184</v>
      </c>
      <c r="J86" t="str">
        <f t="shared" si="1"/>
        <v>70090460,"CHAQUETA IGNÍFUGA CORTA BIC. MOD.SAESA M",UN,68317,,2,FD1400D082,ACTIVO</v>
      </c>
    </row>
    <row r="87" spans="1:10" x14ac:dyDescent="0.3">
      <c r="A87">
        <v>70090470</v>
      </c>
      <c r="B87" t="s">
        <v>85</v>
      </c>
      <c r="C87" t="s">
        <v>215</v>
      </c>
      <c r="D87">
        <v>67089</v>
      </c>
      <c r="F87">
        <v>2</v>
      </c>
      <c r="G87" t="s">
        <v>178</v>
      </c>
      <c r="H87" t="s">
        <v>184</v>
      </c>
      <c r="J87" t="str">
        <f t="shared" si="1"/>
        <v>70090470,"CHAQUETA IGNÍFUGA CORTA BIC. MOD.SAESA L",UN,67089,,2,FD1400D082,ACTIVO</v>
      </c>
    </row>
    <row r="88" spans="1:10" x14ac:dyDescent="0.3">
      <c r="A88">
        <v>70090480</v>
      </c>
      <c r="B88" t="s">
        <v>86</v>
      </c>
      <c r="C88" t="s">
        <v>215</v>
      </c>
      <c r="D88">
        <v>67037</v>
      </c>
      <c r="F88">
        <v>2</v>
      </c>
      <c r="G88" t="s">
        <v>178</v>
      </c>
      <c r="H88" t="s">
        <v>184</v>
      </c>
      <c r="J88" t="str">
        <f t="shared" si="1"/>
        <v>70090480,"CHAQUETA IGNÍFUGA CORTA BIC. MOD.SAESA XL",UN,67037,,2,FD1400D082,ACTIVO</v>
      </c>
    </row>
    <row r="89" spans="1:10" x14ac:dyDescent="0.3">
      <c r="A89">
        <v>70090490</v>
      </c>
      <c r="B89" t="s">
        <v>87</v>
      </c>
      <c r="C89" t="s">
        <v>215</v>
      </c>
      <c r="D89">
        <v>66519</v>
      </c>
      <c r="F89">
        <v>2</v>
      </c>
      <c r="G89" t="s">
        <v>178</v>
      </c>
      <c r="H89" t="s">
        <v>184</v>
      </c>
      <c r="J89" t="str">
        <f t="shared" si="1"/>
        <v>70090490,"CHAQUETA IGNÍFUGA CORTA BIC. MOD.SAESA XXL",UN,66519,,2,FD1400D082,ACTIVO</v>
      </c>
    </row>
    <row r="90" spans="1:10" x14ac:dyDescent="0.3">
      <c r="A90">
        <v>70107300</v>
      </c>
      <c r="B90" t="s">
        <v>88</v>
      </c>
      <c r="C90" t="s">
        <v>215</v>
      </c>
      <c r="D90">
        <v>71859</v>
      </c>
      <c r="F90">
        <v>1</v>
      </c>
      <c r="G90" t="s">
        <v>178</v>
      </c>
      <c r="H90" t="s">
        <v>184</v>
      </c>
      <c r="J90" t="str">
        <f t="shared" si="1"/>
        <v>70107300,"Chaqueta antif. imper.azul mod.SAESA S",UN,71859,,1,FD1400D082,ACTIVO</v>
      </c>
    </row>
    <row r="91" spans="1:10" x14ac:dyDescent="0.3">
      <c r="A91">
        <v>70107310</v>
      </c>
      <c r="B91" t="s">
        <v>89</v>
      </c>
      <c r="C91" t="s">
        <v>215</v>
      </c>
      <c r="D91">
        <v>69773</v>
      </c>
      <c r="F91">
        <v>1</v>
      </c>
      <c r="G91" t="s">
        <v>178</v>
      </c>
      <c r="H91" t="s">
        <v>184</v>
      </c>
      <c r="J91" t="str">
        <f t="shared" si="1"/>
        <v>70107310,"Chaqueta antif. imper.azul mod.SAESA M",UN,69773,,1,FD1400D082,ACTIVO</v>
      </c>
    </row>
    <row r="92" spans="1:10" x14ac:dyDescent="0.3">
      <c r="A92">
        <v>70107320</v>
      </c>
      <c r="B92" t="s">
        <v>90</v>
      </c>
      <c r="C92" t="s">
        <v>215</v>
      </c>
      <c r="D92">
        <v>73172</v>
      </c>
      <c r="F92">
        <v>1</v>
      </c>
      <c r="G92" t="s">
        <v>178</v>
      </c>
      <c r="H92" t="s">
        <v>184</v>
      </c>
      <c r="J92" t="str">
        <f t="shared" si="1"/>
        <v>70107320,"Chaqueta antif. imper.azul mod.SAESA L",UN,73172,,1,FD1400D082,ACTIVO</v>
      </c>
    </row>
    <row r="93" spans="1:10" x14ac:dyDescent="0.3">
      <c r="A93">
        <v>70107330</v>
      </c>
      <c r="B93" t="s">
        <v>91</v>
      </c>
      <c r="C93" t="s">
        <v>215</v>
      </c>
      <c r="D93">
        <v>72996</v>
      </c>
      <c r="F93">
        <v>1</v>
      </c>
      <c r="G93" t="s">
        <v>178</v>
      </c>
      <c r="H93" t="s">
        <v>184</v>
      </c>
      <c r="J93" t="str">
        <f t="shared" si="1"/>
        <v>70107330,"Chaqueta antif. imper.azul mod.SAESA XL",UN,72996,,1,FD1400D082,ACTIVO</v>
      </c>
    </row>
    <row r="94" spans="1:10" x14ac:dyDescent="0.3">
      <c r="A94">
        <v>70107340</v>
      </c>
      <c r="B94" t="s">
        <v>92</v>
      </c>
      <c r="C94" t="s">
        <v>215</v>
      </c>
      <c r="D94">
        <v>92867</v>
      </c>
      <c r="F94">
        <v>1</v>
      </c>
      <c r="G94" t="s">
        <v>178</v>
      </c>
      <c r="H94" t="s">
        <v>184</v>
      </c>
      <c r="J94" t="str">
        <f t="shared" si="1"/>
        <v>70107340,"Chaqueta antif. imper.azul mod.SAESA XXL",UN,92867,,1,FD1400D082,ACTIVO</v>
      </c>
    </row>
    <row r="95" spans="1:10" x14ac:dyDescent="0.3">
      <c r="A95">
        <v>70090700</v>
      </c>
      <c r="B95" t="s">
        <v>93</v>
      </c>
      <c r="C95" t="s">
        <v>215</v>
      </c>
      <c r="D95">
        <v>29676</v>
      </c>
      <c r="F95">
        <v>5</v>
      </c>
      <c r="G95" t="s">
        <v>178</v>
      </c>
      <c r="H95" t="s">
        <v>184</v>
      </c>
      <c r="J95" t="str">
        <f t="shared" si="1"/>
        <v>70090700,"Polera ignífuga AZUL NAVY, mod. SAESA S",UN,29676,,5,FD1400D082,ACTIVO</v>
      </c>
    </row>
    <row r="96" spans="1:10" x14ac:dyDescent="0.3">
      <c r="A96">
        <v>70090710</v>
      </c>
      <c r="B96" t="s">
        <v>94</v>
      </c>
      <c r="C96" t="s">
        <v>215</v>
      </c>
      <c r="D96">
        <v>30492</v>
      </c>
      <c r="F96">
        <v>5</v>
      </c>
      <c r="G96" t="s">
        <v>178</v>
      </c>
      <c r="H96" t="s">
        <v>184</v>
      </c>
      <c r="J96" t="str">
        <f t="shared" si="1"/>
        <v>70090710,"Polera ignífuga AZUL NAVY, mod. SAESA M",UN,30492,,5,FD1400D082,ACTIVO</v>
      </c>
    </row>
    <row r="97" spans="1:10" x14ac:dyDescent="0.3">
      <c r="A97">
        <v>70090720</v>
      </c>
      <c r="B97" t="s">
        <v>95</v>
      </c>
      <c r="C97" t="s">
        <v>215</v>
      </c>
      <c r="D97">
        <v>30519</v>
      </c>
      <c r="F97">
        <v>5</v>
      </c>
      <c r="G97" t="s">
        <v>178</v>
      </c>
      <c r="H97" t="s">
        <v>184</v>
      </c>
      <c r="J97" t="str">
        <f t="shared" si="1"/>
        <v>70090720,"Polera ignífuga AZUL NAVY, mod. SAESA L",UN,30519,,5,FD1400D082,ACTIVO</v>
      </c>
    </row>
    <row r="98" spans="1:10" x14ac:dyDescent="0.3">
      <c r="A98">
        <v>70090730</v>
      </c>
      <c r="B98" t="s">
        <v>96</v>
      </c>
      <c r="C98" t="s">
        <v>215</v>
      </c>
      <c r="D98">
        <v>30535</v>
      </c>
      <c r="F98">
        <v>5</v>
      </c>
      <c r="G98" t="s">
        <v>178</v>
      </c>
      <c r="H98" t="s">
        <v>184</v>
      </c>
      <c r="J98" t="str">
        <f t="shared" si="1"/>
        <v>70090730,"Polera ignífuga AZUL NAVY, mod. SAESA XL",UN,30535,,5,FD1400D082,ACTIVO</v>
      </c>
    </row>
    <row r="99" spans="1:10" x14ac:dyDescent="0.3">
      <c r="A99">
        <v>70090740</v>
      </c>
      <c r="B99" t="s">
        <v>97</v>
      </c>
      <c r="C99" t="s">
        <v>215</v>
      </c>
      <c r="D99">
        <v>30497</v>
      </c>
      <c r="F99">
        <v>5</v>
      </c>
      <c r="G99" t="s">
        <v>178</v>
      </c>
      <c r="H99" t="s">
        <v>184</v>
      </c>
      <c r="J99" t="str">
        <f t="shared" si="1"/>
        <v>70090740,"Polera ignífuga AZUL NAVY, mod. SAESA XXL",UN,30497,,5,FD1400D082,ACTIVO</v>
      </c>
    </row>
    <row r="100" spans="1:10" x14ac:dyDescent="0.3">
      <c r="A100">
        <v>70099100</v>
      </c>
      <c r="B100" t="s">
        <v>98</v>
      </c>
      <c r="C100" t="s">
        <v>215</v>
      </c>
      <c r="D100">
        <v>51194</v>
      </c>
      <c r="F100">
        <v>1</v>
      </c>
      <c r="G100" t="s">
        <v>178</v>
      </c>
      <c r="H100" t="s">
        <v>184</v>
      </c>
      <c r="J100" t="str">
        <f t="shared" si="1"/>
        <v>70099100,"Arnés de seg. 2 argollas Ranquil talla S",UN,51194,,1,FD1400D082,ACTIVO</v>
      </c>
    </row>
    <row r="101" spans="1:10" x14ac:dyDescent="0.3">
      <c r="A101">
        <v>70099110</v>
      </c>
      <c r="B101" t="s">
        <v>99</v>
      </c>
      <c r="C101" t="s">
        <v>215</v>
      </c>
      <c r="D101">
        <v>51194</v>
      </c>
      <c r="F101">
        <v>1</v>
      </c>
      <c r="G101" t="s">
        <v>178</v>
      </c>
      <c r="H101" t="s">
        <v>184</v>
      </c>
      <c r="J101" t="str">
        <f t="shared" si="1"/>
        <v>70099110,"Arnés de seg. 2 argollas Ranquil talla M",UN,51194,,1,FD1400D082,ACTIVO</v>
      </c>
    </row>
    <row r="102" spans="1:10" x14ac:dyDescent="0.3">
      <c r="A102">
        <v>70099120</v>
      </c>
      <c r="B102" t="s">
        <v>100</v>
      </c>
      <c r="C102" t="s">
        <v>215</v>
      </c>
      <c r="D102">
        <v>48720</v>
      </c>
      <c r="F102">
        <v>1</v>
      </c>
      <c r="G102" t="s">
        <v>178</v>
      </c>
      <c r="H102" t="s">
        <v>184</v>
      </c>
      <c r="J102" t="str">
        <f t="shared" si="1"/>
        <v>70099120,"Arnés de seg. argollas Ranquil talla L",UN,48720,,1,FD1400D082,ACTIVO</v>
      </c>
    </row>
    <row r="103" spans="1:10" x14ac:dyDescent="0.3">
      <c r="A103">
        <v>70099130</v>
      </c>
      <c r="B103" t="s">
        <v>101</v>
      </c>
      <c r="C103" t="s">
        <v>215</v>
      </c>
      <c r="D103">
        <v>50834</v>
      </c>
      <c r="F103">
        <v>1</v>
      </c>
      <c r="G103" t="s">
        <v>178</v>
      </c>
      <c r="H103" t="s">
        <v>184</v>
      </c>
      <c r="J103" t="str">
        <f t="shared" si="1"/>
        <v>70099130,"Arnés de seg 2 argollas Ranquil talla XL",UN,50834,,1,FD1400D082,ACTIVO</v>
      </c>
    </row>
    <row r="104" spans="1:10" x14ac:dyDescent="0.3">
      <c r="A104">
        <v>70099140</v>
      </c>
      <c r="B104" t="s">
        <v>102</v>
      </c>
      <c r="C104" t="s">
        <v>215</v>
      </c>
      <c r="D104">
        <v>47242</v>
      </c>
      <c r="F104">
        <v>1</v>
      </c>
      <c r="G104" t="s">
        <v>178</v>
      </c>
      <c r="H104" t="s">
        <v>184</v>
      </c>
      <c r="J104" t="str">
        <f t="shared" si="1"/>
        <v>70099140,"Arnés de seg 2 argollas Ranquil tallaXXL",UN,47242,,1,FD1400D082,ACTIVO</v>
      </c>
    </row>
    <row r="105" spans="1:10" x14ac:dyDescent="0.3">
      <c r="A105">
        <v>70090210</v>
      </c>
      <c r="B105" t="s">
        <v>103</v>
      </c>
      <c r="C105" t="s">
        <v>215</v>
      </c>
      <c r="D105">
        <v>27401</v>
      </c>
      <c r="F105">
        <v>3</v>
      </c>
      <c r="G105" t="s">
        <v>178</v>
      </c>
      <c r="H105" t="s">
        <v>184</v>
      </c>
      <c r="J105" t="str">
        <f t="shared" si="1"/>
        <v>70090210,"Pantalón Ignífugo cargo Gris modSAESA 42",UN,27401,,3,FD1400D082,ACTIVO</v>
      </c>
    </row>
    <row r="106" spans="1:10" x14ac:dyDescent="0.3">
      <c r="A106">
        <v>70090220</v>
      </c>
      <c r="B106" t="s">
        <v>104</v>
      </c>
      <c r="C106" t="s">
        <v>215</v>
      </c>
      <c r="D106">
        <v>40879</v>
      </c>
      <c r="F106">
        <v>3</v>
      </c>
      <c r="G106" t="s">
        <v>178</v>
      </c>
      <c r="H106" t="s">
        <v>184</v>
      </c>
      <c r="J106" t="str">
        <f t="shared" si="1"/>
        <v>70090220,"Pantalón Ignífugo cargo Gris modSAESA 44",UN,40879,,3,FD1400D082,ACTIVO</v>
      </c>
    </row>
    <row r="107" spans="1:10" x14ac:dyDescent="0.3">
      <c r="A107">
        <v>70090230</v>
      </c>
      <c r="B107" t="s">
        <v>105</v>
      </c>
      <c r="C107" t="s">
        <v>215</v>
      </c>
      <c r="D107">
        <v>40863</v>
      </c>
      <c r="F107">
        <v>3</v>
      </c>
      <c r="G107" t="s">
        <v>178</v>
      </c>
      <c r="H107" t="s">
        <v>184</v>
      </c>
      <c r="J107" t="str">
        <f t="shared" si="1"/>
        <v>70090230,"Pantalón Ignífugo cargo Gris modSAESA 46",UN,40863,,3,FD1400D082,ACTIVO</v>
      </c>
    </row>
    <row r="108" spans="1:10" x14ac:dyDescent="0.3">
      <c r="A108">
        <v>70090240</v>
      </c>
      <c r="B108" t="s">
        <v>106</v>
      </c>
      <c r="C108" t="s">
        <v>215</v>
      </c>
      <c r="D108">
        <v>41033</v>
      </c>
      <c r="F108">
        <v>3</v>
      </c>
      <c r="G108" t="s">
        <v>178</v>
      </c>
      <c r="H108" t="s">
        <v>184</v>
      </c>
      <c r="J108" t="str">
        <f t="shared" si="1"/>
        <v>70090240,"Pantalón Ignífugo cargo Gris modSAESA 48",UN,41033,,3,FD1400D082,ACTIVO</v>
      </c>
    </row>
    <row r="109" spans="1:10" x14ac:dyDescent="0.3">
      <c r="A109">
        <v>70090250</v>
      </c>
      <c r="B109" t="s">
        <v>107</v>
      </c>
      <c r="C109" t="s">
        <v>215</v>
      </c>
      <c r="D109">
        <v>41015</v>
      </c>
      <c r="F109">
        <v>3</v>
      </c>
      <c r="G109" t="s">
        <v>178</v>
      </c>
      <c r="H109" t="s">
        <v>184</v>
      </c>
      <c r="J109" t="str">
        <f t="shared" si="1"/>
        <v>70090250,"Pantalón Ignífugo cargo Gris modSAESA 50",UN,41015,,3,FD1400D082,ACTIVO</v>
      </c>
    </row>
    <row r="110" spans="1:10" x14ac:dyDescent="0.3">
      <c r="A110">
        <v>70090260</v>
      </c>
      <c r="B110" t="s">
        <v>108</v>
      </c>
      <c r="C110" t="s">
        <v>215</v>
      </c>
      <c r="D110">
        <v>41018</v>
      </c>
      <c r="F110">
        <v>3</v>
      </c>
      <c r="G110" t="s">
        <v>178</v>
      </c>
      <c r="H110" t="s">
        <v>184</v>
      </c>
      <c r="J110" t="str">
        <f t="shared" si="1"/>
        <v>70090260,"Pantalón Ignífugo cargo Gris modSAESA 52",UN,41018,,3,FD1400D082,ACTIVO</v>
      </c>
    </row>
    <row r="111" spans="1:10" x14ac:dyDescent="0.3">
      <c r="A111">
        <v>70090270</v>
      </c>
      <c r="B111" t="s">
        <v>109</v>
      </c>
      <c r="C111" t="s">
        <v>215</v>
      </c>
      <c r="D111">
        <v>41018</v>
      </c>
      <c r="F111">
        <v>3</v>
      </c>
      <c r="G111" t="s">
        <v>178</v>
      </c>
      <c r="H111" t="s">
        <v>184</v>
      </c>
      <c r="J111" t="str">
        <f t="shared" si="1"/>
        <v>70090270,"Pantalón Ignífugo cargo Gris modSAESA 54",UN,41018,,3,FD1400D082,ACTIVO</v>
      </c>
    </row>
    <row r="112" spans="1:10" x14ac:dyDescent="0.3">
      <c r="A112">
        <v>70200000</v>
      </c>
      <c r="B112" t="s">
        <v>110</v>
      </c>
      <c r="C112" t="s">
        <v>215</v>
      </c>
      <c r="D112">
        <v>57860</v>
      </c>
      <c r="F112">
        <v>1</v>
      </c>
      <c r="G112" t="s">
        <v>178</v>
      </c>
      <c r="H112" t="s">
        <v>184</v>
      </c>
      <c r="J112" t="str">
        <f t="shared" si="1"/>
        <v>70200000,"Pantalón Anticorte p/MtSrr T M",UN,57860,,1,FD1400D082,ACTIVO</v>
      </c>
    </row>
    <row r="113" spans="1:10" x14ac:dyDescent="0.3">
      <c r="A113">
        <v>70200002</v>
      </c>
      <c r="B113" t="s">
        <v>111</v>
      </c>
      <c r="C113" t="s">
        <v>215</v>
      </c>
      <c r="D113">
        <v>67004</v>
      </c>
      <c r="F113">
        <v>1</v>
      </c>
      <c r="G113" t="s">
        <v>178</v>
      </c>
      <c r="H113" t="s">
        <v>184</v>
      </c>
      <c r="J113" t="str">
        <f t="shared" si="1"/>
        <v>70200002,"Pantalón Anticorte p/MtSrr T L",UN,67004,,1,FD1400D082,ACTIVO</v>
      </c>
    </row>
    <row r="114" spans="1:10" x14ac:dyDescent="0.3">
      <c r="A114">
        <v>70200004</v>
      </c>
      <c r="B114" t="s">
        <v>112</v>
      </c>
      <c r="C114" t="s">
        <v>215</v>
      </c>
      <c r="D114">
        <v>57860</v>
      </c>
      <c r="F114">
        <v>1</v>
      </c>
      <c r="G114" t="s">
        <v>178</v>
      </c>
      <c r="H114" t="s">
        <v>184</v>
      </c>
      <c r="J114" t="str">
        <f t="shared" si="1"/>
        <v>70200004,"Pantalón Anticorte p/MtSrr T XL",UN,57860,,1,FD1400D082,ACTIVO</v>
      </c>
    </row>
    <row r="115" spans="1:10" x14ac:dyDescent="0.3">
      <c r="A115">
        <v>70200006</v>
      </c>
      <c r="B115" t="s">
        <v>113</v>
      </c>
      <c r="C115" t="s">
        <v>215</v>
      </c>
      <c r="D115">
        <v>59964</v>
      </c>
      <c r="F115">
        <v>1</v>
      </c>
      <c r="G115" t="s">
        <v>178</v>
      </c>
      <c r="H115" t="s">
        <v>184</v>
      </c>
      <c r="J115" t="str">
        <f t="shared" si="1"/>
        <v>70200006,"Pantalón Anticorte p/MtSrr T XXL",UN,59964,,1,FD1400D082,ACTIVO</v>
      </c>
    </row>
    <row r="116" spans="1:10" x14ac:dyDescent="0.3">
      <c r="A116">
        <v>70060060</v>
      </c>
      <c r="B116" t="s">
        <v>114</v>
      </c>
      <c r="C116" t="s">
        <v>216</v>
      </c>
      <c r="D116">
        <v>138871</v>
      </c>
      <c r="F116">
        <v>1</v>
      </c>
      <c r="G116" t="s">
        <v>178</v>
      </c>
      <c r="H116" t="s">
        <v>184</v>
      </c>
      <c r="J116" t="str">
        <f t="shared" si="1"/>
        <v>70060060,"Guante Diel CL 0 T 9"(Slb)/9"(Nvx)",PAA,138871,,1,FD1400D082,ACTIVO</v>
      </c>
    </row>
    <row r="117" spans="1:10" x14ac:dyDescent="0.3">
      <c r="A117">
        <v>70060062</v>
      </c>
      <c r="B117" t="s">
        <v>115</v>
      </c>
      <c r="C117" t="s">
        <v>216</v>
      </c>
      <c r="D117">
        <v>64128</v>
      </c>
      <c r="F117">
        <v>1</v>
      </c>
      <c r="G117" t="s">
        <v>178</v>
      </c>
      <c r="H117" t="s">
        <v>184</v>
      </c>
      <c r="J117" t="str">
        <f t="shared" si="1"/>
        <v>70060062,"Guante Diel CL 0 T 9,5" (Slb)/10"(Nvx)",PAA,64128,,1,FD1400D082,ACTIVO</v>
      </c>
    </row>
    <row r="118" spans="1:10" x14ac:dyDescent="0.3">
      <c r="A118">
        <v>70060064</v>
      </c>
      <c r="B118" t="s">
        <v>116</v>
      </c>
      <c r="C118" t="s">
        <v>216</v>
      </c>
      <c r="D118">
        <v>34752</v>
      </c>
      <c r="F118">
        <v>1</v>
      </c>
      <c r="G118" t="s">
        <v>178</v>
      </c>
      <c r="H118" t="s">
        <v>184</v>
      </c>
      <c r="J118" t="str">
        <f t="shared" si="1"/>
        <v>70060064,"Guante Diel CL 0 T 10"(Slb)/11"(Nvx)",PAA,34752,,1,FD1400D082,ACTIVO</v>
      </c>
    </row>
    <row r="119" spans="1:10" x14ac:dyDescent="0.3">
      <c r="A119">
        <v>70060070</v>
      </c>
      <c r="B119" t="s">
        <v>117</v>
      </c>
      <c r="C119" t="s">
        <v>216</v>
      </c>
      <c r="D119">
        <v>85899</v>
      </c>
      <c r="F119">
        <v>1</v>
      </c>
      <c r="G119" t="s">
        <v>178</v>
      </c>
      <c r="H119" t="s">
        <v>184</v>
      </c>
      <c r="J119" t="str">
        <f t="shared" si="1"/>
        <v>70060070,"Guante Dielectrico Ne-Amll T 9"CL 2",PAA,85899,,1,FD1400D082,ACTIVO</v>
      </c>
    </row>
    <row r="120" spans="1:10" x14ac:dyDescent="0.3">
      <c r="A120">
        <v>70060072</v>
      </c>
      <c r="B120" t="s">
        <v>118</v>
      </c>
      <c r="C120" t="s">
        <v>216</v>
      </c>
      <c r="D120">
        <v>105912</v>
      </c>
      <c r="F120">
        <v>1</v>
      </c>
      <c r="G120" t="s">
        <v>178</v>
      </c>
      <c r="H120" t="s">
        <v>184</v>
      </c>
      <c r="J120" t="str">
        <f t="shared" si="1"/>
        <v>70060072,"Guante Diel CL 2 T 9,5"(Slb)/9"(Nvx)",PAA,105912,,1,FD1400D082,ACTIVO</v>
      </c>
    </row>
    <row r="121" spans="1:10" x14ac:dyDescent="0.3">
      <c r="A121">
        <v>70060074</v>
      </c>
      <c r="B121" t="s">
        <v>119</v>
      </c>
      <c r="C121" t="s">
        <v>216</v>
      </c>
      <c r="D121">
        <v>117765</v>
      </c>
      <c r="F121">
        <v>1</v>
      </c>
      <c r="G121" t="s">
        <v>178</v>
      </c>
      <c r="H121" t="s">
        <v>184</v>
      </c>
      <c r="J121" t="str">
        <f t="shared" si="1"/>
        <v>70060074,"Guante Diel CL 2 T 10"(Slb)/10"(Nvx)",PAA,117765,,1,FD1400D082,ACTIVO</v>
      </c>
    </row>
    <row r="122" spans="1:10" x14ac:dyDescent="0.3">
      <c r="A122">
        <v>70060080</v>
      </c>
      <c r="B122" t="s">
        <v>120</v>
      </c>
      <c r="C122" t="s">
        <v>215</v>
      </c>
      <c r="D122">
        <v>0</v>
      </c>
      <c r="F122">
        <v>1</v>
      </c>
      <c r="G122" t="s">
        <v>178</v>
      </c>
      <c r="H122" t="s">
        <v>184</v>
      </c>
      <c r="J122" t="str">
        <f t="shared" si="1"/>
        <v>70060080,"Guante Dielectrico Ne-Ve T 9"CL 3",UN,0,,1,FD1400D082,ACTIVO</v>
      </c>
    </row>
    <row r="123" spans="1:10" x14ac:dyDescent="0.3">
      <c r="A123">
        <v>70060086</v>
      </c>
      <c r="B123" t="s">
        <v>121</v>
      </c>
      <c r="C123" t="s">
        <v>216</v>
      </c>
      <c r="D123">
        <v>0</v>
      </c>
      <c r="F123">
        <v>1</v>
      </c>
      <c r="G123" t="s">
        <v>178</v>
      </c>
      <c r="H123" t="s">
        <v>184</v>
      </c>
      <c r="J123" t="str">
        <f t="shared" si="1"/>
        <v>70060086,"Guante Dielectrico Bicolor T 9,5" CL 3",PAA,0,,1,FD1400D082,ACTIVO</v>
      </c>
    </row>
    <row r="124" spans="1:10" x14ac:dyDescent="0.3">
      <c r="A124">
        <v>70060088</v>
      </c>
      <c r="B124" t="s">
        <v>122</v>
      </c>
      <c r="C124" t="s">
        <v>216</v>
      </c>
      <c r="D124">
        <v>0</v>
      </c>
      <c r="F124">
        <v>1</v>
      </c>
      <c r="G124" t="s">
        <v>178</v>
      </c>
      <c r="H124" t="s">
        <v>184</v>
      </c>
      <c r="J124" t="str">
        <f t="shared" si="1"/>
        <v>70060088,"Guante Dielectrico Bicolor T 10" CL 3",PAA,0,,1,FD1400D082,ACTIVO</v>
      </c>
    </row>
    <row r="125" spans="1:10" x14ac:dyDescent="0.3">
      <c r="A125">
        <v>70058100</v>
      </c>
      <c r="B125" t="s">
        <v>123</v>
      </c>
      <c r="C125" t="s">
        <v>216</v>
      </c>
      <c r="D125">
        <v>12121</v>
      </c>
      <c r="F125">
        <v>2</v>
      </c>
      <c r="G125" t="s">
        <v>178</v>
      </c>
      <c r="H125" t="s">
        <v>184</v>
      </c>
      <c r="J125" t="str">
        <f t="shared" si="1"/>
        <v>70058100,"Guante Cuero Prot Dele Rj 13" CL0",PAA,12121,,2,FD1400D082,ACTIVO</v>
      </c>
    </row>
    <row r="126" spans="1:10" x14ac:dyDescent="0.3">
      <c r="A126">
        <v>70058120</v>
      </c>
      <c r="B126" t="s">
        <v>124</v>
      </c>
      <c r="C126" t="s">
        <v>216</v>
      </c>
      <c r="D126">
        <v>11600</v>
      </c>
      <c r="F126">
        <v>2</v>
      </c>
      <c r="G126" t="s">
        <v>178</v>
      </c>
      <c r="H126" t="s">
        <v>184</v>
      </c>
      <c r="J126" t="str">
        <f t="shared" si="1"/>
        <v>70058120,"Guante Cuero Prot Dele Am 14" CL2",PAA,11600,,2,FD1400D082,ACTIVO</v>
      </c>
    </row>
    <row r="127" spans="1:10" x14ac:dyDescent="0.3">
      <c r="A127">
        <v>70058130</v>
      </c>
      <c r="B127" t="s">
        <v>125</v>
      </c>
      <c r="C127" t="s">
        <v>216</v>
      </c>
      <c r="D127">
        <v>6210</v>
      </c>
      <c r="F127">
        <v>2</v>
      </c>
      <c r="G127" t="s">
        <v>178</v>
      </c>
      <c r="H127" t="s">
        <v>184</v>
      </c>
      <c r="J127" t="str">
        <f t="shared" si="1"/>
        <v>70058130,"Guante Cuero, prot dielect Verde 14" CL3",PAA,6210,,2,FD1400D082,ACTIVO</v>
      </c>
    </row>
    <row r="128" spans="1:10" x14ac:dyDescent="0.3">
      <c r="A128">
        <v>70064170</v>
      </c>
      <c r="B128" t="s">
        <v>126</v>
      </c>
      <c r="C128" t="s">
        <v>216</v>
      </c>
      <c r="D128">
        <v>3672</v>
      </c>
      <c r="F128">
        <v>1</v>
      </c>
      <c r="G128" t="s">
        <v>178</v>
      </c>
      <c r="H128" t="s">
        <v>184</v>
      </c>
      <c r="J128" t="str">
        <f t="shared" si="1"/>
        <v>70064170,"Guante 100% algodón p/humedad, talla 10".",PAA,3672,,1,FD1400D082,ACTIVO</v>
      </c>
    </row>
    <row r="129" spans="1:10" x14ac:dyDescent="0.3">
      <c r="A129">
        <v>80001483</v>
      </c>
      <c r="B129" t="s">
        <v>127</v>
      </c>
      <c r="C129" t="s">
        <v>215</v>
      </c>
      <c r="D129">
        <v>0</v>
      </c>
      <c r="F129">
        <v>1</v>
      </c>
      <c r="G129" t="s">
        <v>178</v>
      </c>
      <c r="H129" t="s">
        <v>184</v>
      </c>
      <c r="J129" t="str">
        <f t="shared" si="1"/>
        <v>80001483,"Manga dieléctrica curva clase 2 -  26"",UN,0,,1,FD1400D082,ACTIVO</v>
      </c>
    </row>
    <row r="130" spans="1:10" x14ac:dyDescent="0.3">
      <c r="A130">
        <v>70130120</v>
      </c>
      <c r="B130" t="s">
        <v>128</v>
      </c>
      <c r="C130" t="s">
        <v>216</v>
      </c>
      <c r="D130">
        <v>63120</v>
      </c>
      <c r="F130">
        <v>1</v>
      </c>
      <c r="G130" t="s">
        <v>178</v>
      </c>
      <c r="H130" t="s">
        <v>184</v>
      </c>
      <c r="J130" t="str">
        <f t="shared" si="1"/>
        <v>70130120,"Botín Seg American Shoe mod Patagonia 39 invierno Coyhaique",PAA,63120,,1,FD1400D082,ACTIVO</v>
      </c>
    </row>
    <row r="131" spans="1:10" x14ac:dyDescent="0.3">
      <c r="A131">
        <v>70130130</v>
      </c>
      <c r="B131" t="s">
        <v>129</v>
      </c>
      <c r="C131" t="s">
        <v>216</v>
      </c>
      <c r="D131">
        <v>59111</v>
      </c>
      <c r="F131">
        <v>1</v>
      </c>
      <c r="G131" t="s">
        <v>178</v>
      </c>
      <c r="H131" t="s">
        <v>184</v>
      </c>
      <c r="J131" t="str">
        <f t="shared" ref="J131:J194" si="2">A131 &amp; "," &amp; """" &amp; B131 &amp; """" &amp; "," &amp; C131 &amp; "," &amp; D131 &amp; "," &amp; E131 &amp; "," &amp; F131 &amp; "," &amp; G131 &amp; "," &amp; H131</f>
        <v>70130130,"Botín Seg American Shoe mod Patagonia 40 invierno Coyhaique",PAA,59111,,1,FD1400D082,ACTIVO</v>
      </c>
    </row>
    <row r="132" spans="1:10" x14ac:dyDescent="0.3">
      <c r="A132">
        <v>70130140</v>
      </c>
      <c r="B132" t="s">
        <v>130</v>
      </c>
      <c r="C132" t="s">
        <v>216</v>
      </c>
      <c r="D132">
        <v>0</v>
      </c>
      <c r="F132">
        <v>1</v>
      </c>
      <c r="G132" t="s">
        <v>178</v>
      </c>
      <c r="H132" t="s">
        <v>184</v>
      </c>
      <c r="J132" t="str">
        <f t="shared" si="2"/>
        <v>70130140,"Botín Seg American Shoe mod Patagonia 41 invierno Coyhaique",PAA,0,,1,FD1400D082,ACTIVO</v>
      </c>
    </row>
    <row r="133" spans="1:10" x14ac:dyDescent="0.3">
      <c r="A133">
        <v>70130150</v>
      </c>
      <c r="B133" t="s">
        <v>131</v>
      </c>
      <c r="C133" t="s">
        <v>216</v>
      </c>
      <c r="D133">
        <v>63120</v>
      </c>
      <c r="F133">
        <v>1</v>
      </c>
      <c r="G133" t="s">
        <v>178</v>
      </c>
      <c r="H133" t="s">
        <v>184</v>
      </c>
      <c r="J133" t="str">
        <f t="shared" si="2"/>
        <v>70130150,"Botín Seg American Shoe mod Patagonia 42 invierno Coyhaique",PAA,63120,,1,FD1400D082,ACTIVO</v>
      </c>
    </row>
    <row r="134" spans="1:10" x14ac:dyDescent="0.3">
      <c r="A134">
        <v>70130160</v>
      </c>
      <c r="B134" t="s">
        <v>132</v>
      </c>
      <c r="C134" t="s">
        <v>216</v>
      </c>
      <c r="D134">
        <v>0</v>
      </c>
      <c r="F134">
        <v>1</v>
      </c>
      <c r="G134" t="s">
        <v>178</v>
      </c>
      <c r="H134" t="s">
        <v>184</v>
      </c>
      <c r="J134" t="str">
        <f t="shared" si="2"/>
        <v>70130160,"Botín Seg American Shoe mod Patagonia 43 invierno Coyhaiqe",PAA,0,,1,FD1400D082,ACTIVO</v>
      </c>
    </row>
    <row r="135" spans="1:10" x14ac:dyDescent="0.3">
      <c r="A135">
        <v>70010050</v>
      </c>
      <c r="B135" t="s">
        <v>133</v>
      </c>
      <c r="C135" t="s">
        <v>216</v>
      </c>
      <c r="D135">
        <v>37121</v>
      </c>
      <c r="F135">
        <v>1</v>
      </c>
      <c r="G135" t="s">
        <v>178</v>
      </c>
      <c r="H135" t="s">
        <v>184</v>
      </c>
      <c r="J135" t="str">
        <f t="shared" si="2"/>
        <v>70010050,"Botín Seguridad Norseg mod. NS 595 N° 39 verano Coyhaique",PAA,37121,,1,FD1400D082,ACTIVO</v>
      </c>
    </row>
    <row r="136" spans="1:10" x14ac:dyDescent="0.3">
      <c r="A136">
        <v>70010070</v>
      </c>
      <c r="B136" t="s">
        <v>134</v>
      </c>
      <c r="C136" t="s">
        <v>216</v>
      </c>
      <c r="D136">
        <v>0</v>
      </c>
      <c r="F136">
        <v>1</v>
      </c>
      <c r="G136" t="s">
        <v>178</v>
      </c>
      <c r="H136" t="s">
        <v>184</v>
      </c>
      <c r="J136" t="str">
        <f t="shared" si="2"/>
        <v>70010070,"Botín Seguridad Norseg mod. NS 595 N° 40 verano Coyhaique",PAA,0,,1,FD1400D082,ACTIVO</v>
      </c>
    </row>
    <row r="137" spans="1:10" x14ac:dyDescent="0.3">
      <c r="A137">
        <v>70010080</v>
      </c>
      <c r="B137" t="s">
        <v>135</v>
      </c>
      <c r="C137" t="s">
        <v>216</v>
      </c>
      <c r="D137">
        <v>33443</v>
      </c>
      <c r="F137">
        <v>1</v>
      </c>
      <c r="G137" t="s">
        <v>178</v>
      </c>
      <c r="H137" t="s">
        <v>184</v>
      </c>
      <c r="J137" t="str">
        <f t="shared" si="2"/>
        <v>70010080,"Botín Seguridad Norseg mod. NS 595 N° 41 verano Coyhaique",PAA,33443,,1,FD1400D082,ACTIVO</v>
      </c>
    </row>
    <row r="138" spans="1:10" x14ac:dyDescent="0.3">
      <c r="A138">
        <v>70010090</v>
      </c>
      <c r="B138" t="s">
        <v>136</v>
      </c>
      <c r="C138" t="s">
        <v>216</v>
      </c>
      <c r="D138">
        <v>33443</v>
      </c>
      <c r="F138">
        <v>1</v>
      </c>
      <c r="G138" t="s">
        <v>178</v>
      </c>
      <c r="H138" t="s">
        <v>184</v>
      </c>
      <c r="J138" t="str">
        <f t="shared" si="2"/>
        <v>70010090,"Botín Seguridad Norseg mod. NS 595 N° 42 verano Coyhaique",PAA,33443,,1,FD1400D082,ACTIVO</v>
      </c>
    </row>
    <row r="139" spans="1:10" x14ac:dyDescent="0.3">
      <c r="A139">
        <v>70010100</v>
      </c>
      <c r="B139" t="s">
        <v>137</v>
      </c>
      <c r="C139" t="s">
        <v>216</v>
      </c>
      <c r="D139">
        <v>39240</v>
      </c>
      <c r="F139">
        <v>1</v>
      </c>
      <c r="G139" t="s">
        <v>178</v>
      </c>
      <c r="H139" t="s">
        <v>184</v>
      </c>
      <c r="J139" t="str">
        <f t="shared" si="2"/>
        <v>70010100,"Botín Seguridad Norseg mod. NS 595 N° 43 verano Coyhaique",PAA,39240,,1,FD1400D082,ACTIVO</v>
      </c>
    </row>
    <row r="140" spans="1:10" x14ac:dyDescent="0.3">
      <c r="A140">
        <v>70025020</v>
      </c>
      <c r="B140" t="s">
        <v>138</v>
      </c>
      <c r="C140" t="s">
        <v>215</v>
      </c>
      <c r="D140">
        <v>0</v>
      </c>
      <c r="F140">
        <v>1</v>
      </c>
      <c r="G140" t="s">
        <v>178</v>
      </c>
      <c r="H140" t="s">
        <v>184</v>
      </c>
      <c r="J140" t="str">
        <f t="shared" si="2"/>
        <v>70025020,"Buzo Trmc p/Nve 44 Clr Nar",UN,0,,1,FD1400D082,ACTIVO</v>
      </c>
    </row>
    <row r="141" spans="1:10" x14ac:dyDescent="0.3">
      <c r="A141">
        <v>70025030</v>
      </c>
      <c r="B141" t="s">
        <v>139</v>
      </c>
      <c r="C141" t="s">
        <v>215</v>
      </c>
      <c r="D141">
        <v>40923</v>
      </c>
      <c r="F141">
        <v>1</v>
      </c>
      <c r="G141" t="s">
        <v>178</v>
      </c>
      <c r="H141" t="s">
        <v>184</v>
      </c>
      <c r="J141" t="str">
        <f t="shared" si="2"/>
        <v>70025030,"Buzo Trmc p/Nve 46 Clr Nar",UN,40923,,1,FD1400D082,ACTIVO</v>
      </c>
    </row>
    <row r="142" spans="1:10" x14ac:dyDescent="0.3">
      <c r="A142">
        <v>70025040</v>
      </c>
      <c r="B142" t="s">
        <v>140</v>
      </c>
      <c r="C142" t="s">
        <v>215</v>
      </c>
      <c r="D142">
        <v>0</v>
      </c>
      <c r="F142">
        <v>1</v>
      </c>
      <c r="G142" t="s">
        <v>178</v>
      </c>
      <c r="H142" t="s">
        <v>184</v>
      </c>
      <c r="J142" t="str">
        <f t="shared" si="2"/>
        <v>70025040,"Buzo Trmc p/Nve 48 Clr Nar",UN,0,,1,FD1400D082,ACTIVO</v>
      </c>
    </row>
    <row r="143" spans="1:10" x14ac:dyDescent="0.3">
      <c r="A143">
        <v>70025045</v>
      </c>
      <c r="B143" t="s">
        <v>141</v>
      </c>
      <c r="C143" t="s">
        <v>215</v>
      </c>
      <c r="D143">
        <v>0</v>
      </c>
      <c r="F143">
        <v>1</v>
      </c>
      <c r="G143" t="s">
        <v>178</v>
      </c>
      <c r="H143" t="s">
        <v>184</v>
      </c>
      <c r="J143" t="str">
        <f t="shared" si="2"/>
        <v>70025045,"Buzo Trmc p/Nve 50 Clr Nar",UN,0,,1,FD1400D082,ACTIVO</v>
      </c>
    </row>
    <row r="144" spans="1:10" x14ac:dyDescent="0.3">
      <c r="A144">
        <v>70025050</v>
      </c>
      <c r="B144" t="s">
        <v>142</v>
      </c>
      <c r="C144" t="s">
        <v>215</v>
      </c>
      <c r="D144">
        <v>0</v>
      </c>
      <c r="F144">
        <v>1</v>
      </c>
      <c r="G144" t="s">
        <v>178</v>
      </c>
      <c r="H144" t="s">
        <v>184</v>
      </c>
      <c r="J144" t="str">
        <f t="shared" si="2"/>
        <v>70025050,"Buzo Trmc p/Nve 52 Clr Nar",UN,0,,1,FD1400D082,ACTIVO</v>
      </c>
    </row>
    <row r="145" spans="1:10" x14ac:dyDescent="0.3">
      <c r="A145">
        <v>70025060</v>
      </c>
      <c r="B145" t="s">
        <v>143</v>
      </c>
      <c r="C145" t="s">
        <v>215</v>
      </c>
      <c r="D145">
        <v>0</v>
      </c>
      <c r="F145">
        <v>1</v>
      </c>
      <c r="G145" t="s">
        <v>178</v>
      </c>
      <c r="H145" t="s">
        <v>184</v>
      </c>
      <c r="J145" t="str">
        <f t="shared" si="2"/>
        <v>70025060,"Buzo Trmc p/Nve 54 Clr Nar",UN,0,,1,FD1400D082,ACTIVO</v>
      </c>
    </row>
    <row r="146" spans="1:10" x14ac:dyDescent="0.3">
      <c r="A146">
        <v>70025200</v>
      </c>
      <c r="B146" t="s">
        <v>144</v>
      </c>
      <c r="C146" t="s">
        <v>215</v>
      </c>
      <c r="D146">
        <v>0</v>
      </c>
      <c r="F146">
        <v>1</v>
      </c>
      <c r="G146" t="s">
        <v>178</v>
      </c>
      <c r="H146" t="s">
        <v>184</v>
      </c>
      <c r="J146" t="str">
        <f t="shared" si="2"/>
        <v>70025200,"Buzo Térmico impermeable; Talla S",UN,0,,1,FD1400D082,ACTIVO</v>
      </c>
    </row>
    <row r="147" spans="1:10" x14ac:dyDescent="0.3">
      <c r="A147">
        <v>70025210</v>
      </c>
      <c r="B147" t="s">
        <v>145</v>
      </c>
      <c r="C147" t="s">
        <v>215</v>
      </c>
      <c r="D147">
        <v>57488</v>
      </c>
      <c r="F147">
        <v>1</v>
      </c>
      <c r="G147" t="s">
        <v>178</v>
      </c>
      <c r="H147" t="s">
        <v>184</v>
      </c>
      <c r="J147" t="str">
        <f t="shared" si="2"/>
        <v>70025210,"Buzo Térmico impermeable; Talla M",UN,57488,,1,FD1400D082,ACTIVO</v>
      </c>
    </row>
    <row r="148" spans="1:10" x14ac:dyDescent="0.3">
      <c r="A148">
        <v>70025220</v>
      </c>
      <c r="B148" t="s">
        <v>146</v>
      </c>
      <c r="C148" t="s">
        <v>215</v>
      </c>
      <c r="D148">
        <v>52629</v>
      </c>
      <c r="F148">
        <v>1</v>
      </c>
      <c r="G148" t="s">
        <v>178</v>
      </c>
      <c r="H148" t="s">
        <v>184</v>
      </c>
      <c r="J148" t="str">
        <f t="shared" si="2"/>
        <v>70025220,"Buzo Térmico impermeable; Talla L",UN,52629,,1,FD1400D082,ACTIVO</v>
      </c>
    </row>
    <row r="149" spans="1:10" x14ac:dyDescent="0.3">
      <c r="A149">
        <v>70025230</v>
      </c>
      <c r="B149" t="s">
        <v>147</v>
      </c>
      <c r="C149" t="s">
        <v>215</v>
      </c>
      <c r="D149">
        <v>54866</v>
      </c>
      <c r="F149">
        <v>1</v>
      </c>
      <c r="G149" t="s">
        <v>178</v>
      </c>
      <c r="H149" t="s">
        <v>184</v>
      </c>
      <c r="J149" t="str">
        <f t="shared" si="2"/>
        <v>70025230,"Buzo Térmico impermeable; Talla XL",UN,54866,,1,FD1400D082,ACTIVO</v>
      </c>
    </row>
    <row r="150" spans="1:10" x14ac:dyDescent="0.3">
      <c r="A150">
        <v>70084050</v>
      </c>
      <c r="B150" t="s">
        <v>148</v>
      </c>
      <c r="C150" t="s">
        <v>215</v>
      </c>
      <c r="D150">
        <v>93139</v>
      </c>
      <c r="F150">
        <v>1</v>
      </c>
      <c r="G150" t="s">
        <v>178</v>
      </c>
      <c r="H150" t="s">
        <v>184</v>
      </c>
      <c r="J150" t="str">
        <f t="shared" si="2"/>
        <v>70084050,"Raquetas para la Nieve",UN,93139,,1,FD1400D082,ACTIVO</v>
      </c>
    </row>
    <row r="151" spans="1:10" x14ac:dyDescent="0.3">
      <c r="A151">
        <v>70099180</v>
      </c>
      <c r="B151" t="s">
        <v>149</v>
      </c>
      <c r="C151" t="s">
        <v>215</v>
      </c>
      <c r="D151">
        <v>22575</v>
      </c>
      <c r="F151">
        <v>1</v>
      </c>
      <c r="G151" t="s">
        <v>178</v>
      </c>
      <c r="H151" t="s">
        <v>184</v>
      </c>
      <c r="J151" t="str">
        <f t="shared" si="2"/>
        <v>70099180,"Amortiguador, lazo-cinta tubular c/mosqu",UN,22575,,1,FD1400D082,ACTIVO</v>
      </c>
    </row>
    <row r="152" spans="1:10" x14ac:dyDescent="0.3">
      <c r="A152">
        <v>70099210</v>
      </c>
      <c r="B152" t="s">
        <v>150</v>
      </c>
      <c r="C152" t="s">
        <v>215</v>
      </c>
      <c r="D152">
        <v>4163</v>
      </c>
      <c r="F152">
        <v>1</v>
      </c>
      <c r="G152" t="s">
        <v>178</v>
      </c>
      <c r="H152" t="s">
        <v>184</v>
      </c>
      <c r="J152" t="str">
        <f t="shared" si="2"/>
        <v>70099210,"Dispositivo anti trauma de caída",UN,4163,,1,FD1400D082,ACTIVO</v>
      </c>
    </row>
    <row r="153" spans="1:10" x14ac:dyDescent="0.3">
      <c r="A153">
        <v>70038000</v>
      </c>
      <c r="B153" t="s">
        <v>151</v>
      </c>
      <c r="C153" t="s">
        <v>215</v>
      </c>
      <c r="D153">
        <v>74341</v>
      </c>
      <c r="F153">
        <v>1</v>
      </c>
      <c r="G153" t="s">
        <v>178</v>
      </c>
      <c r="H153" t="s">
        <v>184</v>
      </c>
      <c r="J153" t="str">
        <f t="shared" si="2"/>
        <v>70038000,"Linterna Frontal p/Cco Seg Terr",UN,74341,,1,FD1400D082,ACTIVO</v>
      </c>
    </row>
    <row r="154" spans="1:10" x14ac:dyDescent="0.3">
      <c r="A154">
        <v>80053210</v>
      </c>
      <c r="B154" t="s">
        <v>152</v>
      </c>
      <c r="C154" t="s">
        <v>215</v>
      </c>
      <c r="D154">
        <v>220618</v>
      </c>
      <c r="F154">
        <v>1</v>
      </c>
      <c r="G154" t="s">
        <v>178</v>
      </c>
      <c r="H154" t="s">
        <v>184</v>
      </c>
      <c r="J154" t="str">
        <f t="shared" si="2"/>
        <v>80053210,"Linterna Streamlight SL-20X LED",UN,220618,,1,FD1400D082,ACTIVO</v>
      </c>
    </row>
    <row r="155" spans="1:10" x14ac:dyDescent="0.3">
      <c r="A155">
        <v>70064300</v>
      </c>
      <c r="B155" t="s">
        <v>153</v>
      </c>
      <c r="C155" t="s">
        <v>215</v>
      </c>
      <c r="D155">
        <v>8967</v>
      </c>
      <c r="F155">
        <v>1</v>
      </c>
      <c r="G155" t="s">
        <v>178</v>
      </c>
      <c r="H155" t="s">
        <v>184</v>
      </c>
      <c r="J155" t="str">
        <f t="shared" si="2"/>
        <v>70064300,"Funda Guante Dielec clase 0 Clr Rojo",UN,8967,,1,FD1400D082,ACTIVO</v>
      </c>
    </row>
    <row r="156" spans="1:10" x14ac:dyDescent="0.3">
      <c r="A156">
        <v>70064302</v>
      </c>
      <c r="B156" t="s">
        <v>154</v>
      </c>
      <c r="C156" t="s">
        <v>215</v>
      </c>
      <c r="D156">
        <v>8336</v>
      </c>
      <c r="F156">
        <v>1</v>
      </c>
      <c r="G156" t="s">
        <v>178</v>
      </c>
      <c r="H156" t="s">
        <v>184</v>
      </c>
      <c r="J156" t="str">
        <f t="shared" si="2"/>
        <v>70064302,"Funda Guante Dialec clase 2 Clr Amarilll",UN,8336,,1,FD1400D082,ACTIVO</v>
      </c>
    </row>
    <row r="157" spans="1:10" x14ac:dyDescent="0.3">
      <c r="A157">
        <v>70064304</v>
      </c>
      <c r="B157" t="s">
        <v>155</v>
      </c>
      <c r="C157" t="s">
        <v>215</v>
      </c>
      <c r="D157">
        <v>7673</v>
      </c>
      <c r="F157">
        <v>1</v>
      </c>
      <c r="G157" t="s">
        <v>178</v>
      </c>
      <c r="H157" t="s">
        <v>184</v>
      </c>
      <c r="J157" t="str">
        <f t="shared" si="2"/>
        <v>70064304,"Funda Guante Dielec clase 3 Clr Verde",UN,7673,,1,FD1400D082,ACTIVO</v>
      </c>
    </row>
    <row r="158" spans="1:10" x14ac:dyDescent="0.3">
      <c r="A158">
        <v>70045050</v>
      </c>
      <c r="B158" t="s">
        <v>156</v>
      </c>
      <c r="C158" t="s">
        <v>215</v>
      </c>
      <c r="D158">
        <v>74892</v>
      </c>
      <c r="F158">
        <v>1</v>
      </c>
      <c r="G158" t="s">
        <v>178</v>
      </c>
      <c r="H158" t="s">
        <v>184</v>
      </c>
      <c r="J158" t="str">
        <f t="shared" si="2"/>
        <v>70045050,"Cinturón Seg Lini 40"",UN,74892,,1,FD1400D082,ACTIVO</v>
      </c>
    </row>
    <row r="159" spans="1:10" x14ac:dyDescent="0.3">
      <c r="A159">
        <v>70045070</v>
      </c>
      <c r="B159" t="s">
        <v>157</v>
      </c>
      <c r="C159" t="s">
        <v>215</v>
      </c>
      <c r="D159">
        <v>109410</v>
      </c>
      <c r="F159">
        <v>1</v>
      </c>
      <c r="G159" t="s">
        <v>178</v>
      </c>
      <c r="H159" t="s">
        <v>184</v>
      </c>
      <c r="J159" t="str">
        <f t="shared" si="2"/>
        <v>70045070,"Cinturón Seg Lini 44"",UN,109410,,1,FD1400D082,ACTIVO</v>
      </c>
    </row>
    <row r="160" spans="1:10" x14ac:dyDescent="0.3">
      <c r="A160">
        <v>70045080</v>
      </c>
      <c r="B160" t="s">
        <v>158</v>
      </c>
      <c r="C160" t="s">
        <v>215</v>
      </c>
      <c r="D160">
        <v>112564</v>
      </c>
      <c r="F160">
        <v>1</v>
      </c>
      <c r="G160" t="s">
        <v>178</v>
      </c>
      <c r="H160" t="s">
        <v>184</v>
      </c>
      <c r="J160" t="str">
        <f t="shared" si="2"/>
        <v>70045080,"Cinturón Seg Lini 48"",UN,112564,,1,FD1400D082,ACTIVO</v>
      </c>
    </row>
    <row r="161" spans="1:10" x14ac:dyDescent="0.3">
      <c r="A161">
        <v>70052020</v>
      </c>
      <c r="B161" t="s">
        <v>159</v>
      </c>
      <c r="C161" t="s">
        <v>215</v>
      </c>
      <c r="D161">
        <v>57340</v>
      </c>
      <c r="F161">
        <v>1</v>
      </c>
      <c r="G161" t="s">
        <v>178</v>
      </c>
      <c r="H161" t="s">
        <v>184</v>
      </c>
      <c r="J161" t="str">
        <f t="shared" si="2"/>
        <v>70052020,"Estrobo Seg Lini 3 Capas 1,7mt",UN,57340,,1,FD1400D082,ACTIVO</v>
      </c>
    </row>
    <row r="162" spans="1:10" x14ac:dyDescent="0.3">
      <c r="A162">
        <v>80002100</v>
      </c>
      <c r="B162" t="s">
        <v>160</v>
      </c>
      <c r="C162" t="s">
        <v>215</v>
      </c>
      <c r="D162">
        <v>51759</v>
      </c>
      <c r="F162">
        <v>1</v>
      </c>
      <c r="G162" t="s">
        <v>178</v>
      </c>
      <c r="H162" t="s">
        <v>184</v>
      </c>
      <c r="J162" t="str">
        <f t="shared" si="2"/>
        <v>80002100,"Alicate Pta 7" c/Aslc 654-7C",UN,51759,,1,FD1400D082,ACTIVO</v>
      </c>
    </row>
    <row r="163" spans="1:10" x14ac:dyDescent="0.3">
      <c r="A163">
        <v>80002250</v>
      </c>
      <c r="B163" t="s">
        <v>161</v>
      </c>
      <c r="C163" t="s">
        <v>215</v>
      </c>
      <c r="D163">
        <v>57321</v>
      </c>
      <c r="F163">
        <v>1</v>
      </c>
      <c r="G163" t="s">
        <v>178</v>
      </c>
      <c r="H163" t="s">
        <v>184</v>
      </c>
      <c r="J163" t="str">
        <f t="shared" si="2"/>
        <v>80002250,"Alicate Univ 8"MgoAis 12098-INS",UN,57321,,1,FD1400D082,ACTIVO</v>
      </c>
    </row>
    <row r="164" spans="1:10" x14ac:dyDescent="0.3">
      <c r="A164">
        <v>80035150</v>
      </c>
      <c r="B164" t="s">
        <v>162</v>
      </c>
      <c r="C164" t="s">
        <v>215</v>
      </c>
      <c r="D164">
        <v>28004</v>
      </c>
      <c r="F164">
        <v>1</v>
      </c>
      <c r="G164" t="s">
        <v>178</v>
      </c>
      <c r="H164" t="s">
        <v>184</v>
      </c>
      <c r="J164" t="str">
        <f t="shared" si="2"/>
        <v>80035150,"FundaCro PortaHerr Cat5119 Klein para cinturón.",UN,28004,,1,FD1400D082,ACTIVO</v>
      </c>
    </row>
    <row r="165" spans="1:10" x14ac:dyDescent="0.3">
      <c r="A165">
        <v>80005050</v>
      </c>
      <c r="B165" t="s">
        <v>163</v>
      </c>
      <c r="C165" t="s">
        <v>215</v>
      </c>
      <c r="D165">
        <v>22610</v>
      </c>
      <c r="F165">
        <v>1</v>
      </c>
      <c r="G165" t="s">
        <v>178</v>
      </c>
      <c r="H165" t="s">
        <v>184</v>
      </c>
      <c r="J165" t="str">
        <f t="shared" si="2"/>
        <v>80005050,"Bolsa Lona p/Herr Mod 5179",UN,22610,,1,FD1400D082,ACTIVO</v>
      </c>
    </row>
    <row r="166" spans="1:10" x14ac:dyDescent="0.3">
      <c r="A166">
        <v>80010050</v>
      </c>
      <c r="B166" t="s">
        <v>164</v>
      </c>
      <c r="C166" t="s">
        <v>215</v>
      </c>
      <c r="D166">
        <v>2891</v>
      </c>
      <c r="F166">
        <v>1</v>
      </c>
      <c r="G166" t="s">
        <v>178</v>
      </c>
      <c r="H166" t="s">
        <v>184</v>
      </c>
      <c r="J166" t="str">
        <f t="shared" si="2"/>
        <v>80010050,"Destornillador Pl Ais 1x5,5x125mm",UN,2891,,1,FD1400D082,ACTIVO</v>
      </c>
    </row>
    <row r="167" spans="1:10" x14ac:dyDescent="0.3">
      <c r="A167">
        <v>80014010</v>
      </c>
      <c r="B167" t="s">
        <v>165</v>
      </c>
      <c r="C167" t="s">
        <v>215</v>
      </c>
      <c r="D167">
        <v>3694</v>
      </c>
      <c r="F167">
        <v>1</v>
      </c>
      <c r="G167" t="s">
        <v>178</v>
      </c>
      <c r="H167" t="s">
        <v>184</v>
      </c>
      <c r="J167" t="str">
        <f t="shared" si="2"/>
        <v>80014010,"Destornillador Cruz Ais 2x100mm",UN,3694,,1,FD1400D082,ACTIVO</v>
      </c>
    </row>
    <row r="168" spans="1:10" x14ac:dyDescent="0.3">
      <c r="A168">
        <v>80052080</v>
      </c>
      <c r="B168" t="s">
        <v>166</v>
      </c>
      <c r="C168" t="s">
        <v>215</v>
      </c>
      <c r="D168">
        <v>37717</v>
      </c>
      <c r="F168">
        <v>1</v>
      </c>
      <c r="G168" t="s">
        <v>178</v>
      </c>
      <c r="H168" t="s">
        <v>184</v>
      </c>
      <c r="J168" t="str">
        <f t="shared" si="2"/>
        <v>80052080,"Llave Ajus 12" c/Aslc Bhaco",UN,37717,,1,FD1400D082,ACTIVO</v>
      </c>
    </row>
    <row r="169" spans="1:10" x14ac:dyDescent="0.3">
      <c r="A169">
        <v>80052060</v>
      </c>
      <c r="B169" t="s">
        <v>167</v>
      </c>
      <c r="C169" t="s">
        <v>215</v>
      </c>
      <c r="D169">
        <v>37008</v>
      </c>
      <c r="F169">
        <v>1</v>
      </c>
      <c r="G169" t="s">
        <v>178</v>
      </c>
      <c r="H169" t="s">
        <v>184</v>
      </c>
      <c r="J169" t="str">
        <f t="shared" si="2"/>
        <v>80052060,"Llave Ajus 10" c/Aslc Bhaco",UN,37008,,1,FD1400D082,ACTIVO</v>
      </c>
    </row>
    <row r="170" spans="1:10" x14ac:dyDescent="0.3">
      <c r="A170">
        <v>80052040</v>
      </c>
      <c r="B170" t="s">
        <v>168</v>
      </c>
      <c r="C170" t="s">
        <v>215</v>
      </c>
      <c r="D170">
        <v>25168</v>
      </c>
      <c r="F170">
        <v>1</v>
      </c>
      <c r="G170" t="s">
        <v>178</v>
      </c>
      <c r="H170" t="s">
        <v>184</v>
      </c>
      <c r="J170" t="str">
        <f t="shared" si="2"/>
        <v>80052040,"Llave Ajus 8" c/Aslc Bhaco",UN,25168,,1,FD1400D082,ACTIVO</v>
      </c>
    </row>
    <row r="171" spans="1:10" x14ac:dyDescent="0.3">
      <c r="A171">
        <v>80052020</v>
      </c>
      <c r="B171" t="s">
        <v>169</v>
      </c>
      <c r="C171" t="s">
        <v>215</v>
      </c>
      <c r="D171">
        <v>33071</v>
      </c>
      <c r="F171">
        <v>1</v>
      </c>
      <c r="G171" t="s">
        <v>178</v>
      </c>
      <c r="H171" t="s">
        <v>184</v>
      </c>
      <c r="J171" t="str">
        <f t="shared" si="2"/>
        <v>80052020,"Llave Ajus 6" c/Aslc Bhaco",UN,33071,,1,FD1400D082,ACTIVO</v>
      </c>
    </row>
    <row r="172" spans="1:10" x14ac:dyDescent="0.3">
      <c r="A172">
        <v>80052115</v>
      </c>
      <c r="B172" t="s">
        <v>170</v>
      </c>
      <c r="C172" t="s">
        <v>215</v>
      </c>
      <c r="D172">
        <v>3036</v>
      </c>
      <c r="F172">
        <v>1</v>
      </c>
      <c r="G172" t="s">
        <v>178</v>
      </c>
      <c r="H172" t="s">
        <v>184</v>
      </c>
      <c r="J172" t="str">
        <f t="shared" si="2"/>
        <v>80052115,"Llave Pta y Crna 1/2" Bhaco",UN,3036,,1,FD1400D082,ACTIVO</v>
      </c>
    </row>
    <row r="173" spans="1:10" x14ac:dyDescent="0.3">
      <c r="A173">
        <v>80051100</v>
      </c>
      <c r="B173" t="s">
        <v>171</v>
      </c>
      <c r="C173" t="s">
        <v>215</v>
      </c>
      <c r="D173">
        <v>19227</v>
      </c>
      <c r="F173">
        <v>1</v>
      </c>
      <c r="G173" t="s">
        <v>178</v>
      </c>
      <c r="H173" t="s">
        <v>184</v>
      </c>
      <c r="J173" t="str">
        <f t="shared" si="2"/>
        <v>80051100,"Llave Seg Pno Estrella 6 Pta",UN,19227,,1,FD1400D082,ACTIVO</v>
      </c>
    </row>
    <row r="174" spans="1:10" x14ac:dyDescent="0.3">
      <c r="A174">
        <v>80080020</v>
      </c>
      <c r="B174" t="s">
        <v>172</v>
      </c>
      <c r="C174" t="s">
        <v>216</v>
      </c>
      <c r="D174">
        <v>174459</v>
      </c>
      <c r="F174">
        <v>1</v>
      </c>
      <c r="G174" t="s">
        <v>178</v>
      </c>
      <c r="H174" t="s">
        <v>184</v>
      </c>
      <c r="J174" t="str">
        <f t="shared" si="2"/>
        <v>80080020,"Trepadera Poste Concreto",PAA,174459,,1,FD1400D082,ACTIVO</v>
      </c>
    </row>
    <row r="175" spans="1:10" x14ac:dyDescent="0.3">
      <c r="A175">
        <v>80151103</v>
      </c>
      <c r="B175" t="s">
        <v>173</v>
      </c>
      <c r="C175" t="s">
        <v>215</v>
      </c>
      <c r="D175">
        <v>9121</v>
      </c>
      <c r="F175">
        <v>1</v>
      </c>
      <c r="G175" t="s">
        <v>178</v>
      </c>
      <c r="H175" t="s">
        <v>184</v>
      </c>
      <c r="J175" t="str">
        <f t="shared" si="2"/>
        <v>80151103,"Mensajero Personal p/Liniero",UN,9121,,1,FD1400D082,ACTIVO</v>
      </c>
    </row>
    <row r="176" spans="1:10" x14ac:dyDescent="0.3">
      <c r="A176">
        <v>80200050</v>
      </c>
      <c r="B176" t="s">
        <v>174</v>
      </c>
      <c r="C176" t="s">
        <v>215</v>
      </c>
      <c r="D176">
        <v>39766</v>
      </c>
      <c r="F176">
        <v>1</v>
      </c>
      <c r="G176" t="s">
        <v>178</v>
      </c>
      <c r="H176" t="s">
        <v>184</v>
      </c>
      <c r="J176" t="str">
        <f t="shared" si="2"/>
        <v>80200050,"Repelador Perros Ultrasonido",UN,39766,,1,FD1400D082,ACTIVO</v>
      </c>
    </row>
    <row r="177" spans="1:10" x14ac:dyDescent="0.3">
      <c r="A177">
        <v>70035150</v>
      </c>
      <c r="B177" t="s">
        <v>175</v>
      </c>
      <c r="C177" t="s">
        <v>215</v>
      </c>
      <c r="D177">
        <v>17877</v>
      </c>
      <c r="F177">
        <v>1</v>
      </c>
      <c r="G177" t="s">
        <v>178</v>
      </c>
      <c r="H177" t="s">
        <v>184</v>
      </c>
      <c r="J177" t="str">
        <f t="shared" si="2"/>
        <v>70035150,"Casco Bl Ala Completa",UN,17877,,1,FD1400D082,ACTIVO</v>
      </c>
    </row>
    <row r="178" spans="1:10" x14ac:dyDescent="0.3">
      <c r="A178">
        <v>70083020</v>
      </c>
      <c r="B178" t="s">
        <v>176</v>
      </c>
      <c r="C178" t="s">
        <v>216</v>
      </c>
      <c r="D178">
        <v>8131</v>
      </c>
      <c r="F178">
        <v>1</v>
      </c>
      <c r="G178" t="s">
        <v>178</v>
      </c>
      <c r="H178" t="s">
        <v>184</v>
      </c>
      <c r="J178" t="str">
        <f t="shared" si="2"/>
        <v>70083020,"Piernera Imper AzMarino T Stan",PAA,8131,,1,FD1400D082,ACTIVO</v>
      </c>
    </row>
    <row r="179" spans="1:10" x14ac:dyDescent="0.3">
      <c r="A179">
        <v>70010250</v>
      </c>
      <c r="B179" t="s">
        <v>177</v>
      </c>
      <c r="C179" t="s">
        <v>216</v>
      </c>
      <c r="D179">
        <v>0</v>
      </c>
      <c r="F179">
        <v>1</v>
      </c>
      <c r="G179" t="s">
        <v>178</v>
      </c>
      <c r="H179" t="s">
        <v>184</v>
      </c>
      <c r="J179" t="str">
        <f t="shared" si="2"/>
        <v>70010250,"Bota Gm Ne Caña Lg Pta Ace 42",PAA,0,,1,FD1400D082,ACTIVO</v>
      </c>
    </row>
    <row r="180" spans="1:10" x14ac:dyDescent="0.3">
      <c r="A180">
        <v>40032200</v>
      </c>
      <c r="B180" t="s">
        <v>186</v>
      </c>
      <c r="C180" t="s">
        <v>215</v>
      </c>
      <c r="D180">
        <v>2288341</v>
      </c>
      <c r="E180">
        <v>1</v>
      </c>
      <c r="G180" t="s">
        <v>214</v>
      </c>
      <c r="H180" t="s">
        <v>184</v>
      </c>
      <c r="J180" t="str">
        <f t="shared" si="2"/>
        <v>40032200,"Herramienta Rmp Carga LBu 14,5/25KV",UN,2288341,1,,200/IM136,ACTIVO</v>
      </c>
    </row>
    <row r="181" spans="1:10" x14ac:dyDescent="0.3">
      <c r="A181">
        <v>40032300</v>
      </c>
      <c r="B181" t="s">
        <v>187</v>
      </c>
      <c r="C181" t="s">
        <v>215</v>
      </c>
      <c r="D181">
        <v>0</v>
      </c>
      <c r="E181">
        <v>1</v>
      </c>
      <c r="G181" t="s">
        <v>214</v>
      </c>
      <c r="H181" t="s">
        <v>184</v>
      </c>
      <c r="J181" t="str">
        <f t="shared" si="2"/>
        <v>40032300,"Herramienta Rmp Carga LBu 25/34,5KV",UN,0,1,,200/IM136,ACTIVO</v>
      </c>
    </row>
    <row r="182" spans="1:10" x14ac:dyDescent="0.3">
      <c r="A182">
        <v>55400050</v>
      </c>
      <c r="B182" t="s">
        <v>188</v>
      </c>
      <c r="C182" t="s">
        <v>215</v>
      </c>
      <c r="D182">
        <v>268556</v>
      </c>
      <c r="E182">
        <v>1</v>
      </c>
      <c r="G182" t="s">
        <v>214</v>
      </c>
      <c r="H182" t="s">
        <v>184</v>
      </c>
      <c r="J182" t="str">
        <f t="shared" si="2"/>
        <v>55400050,"Secuenciometro Pta Prb Mod 3126 HIOKI",UN,268556,1,,200/IM136,ACTIVO</v>
      </c>
    </row>
    <row r="183" spans="1:10" x14ac:dyDescent="0.3">
      <c r="A183">
        <v>55420100</v>
      </c>
      <c r="B183" t="s">
        <v>189</v>
      </c>
      <c r="C183" t="s">
        <v>215</v>
      </c>
      <c r="D183">
        <v>339228</v>
      </c>
      <c r="E183">
        <v>1</v>
      </c>
      <c r="G183" t="s">
        <v>214</v>
      </c>
      <c r="H183" t="s">
        <v>184</v>
      </c>
      <c r="J183" t="str">
        <f t="shared" si="2"/>
        <v>55420100,"Volt-Ampermetro Tza Dgt Mod 3282 HIOKI",UN,339228,1,,200/IM136,ACTIVO</v>
      </c>
    </row>
    <row r="184" spans="1:10" x14ac:dyDescent="0.3">
      <c r="A184">
        <v>80001520</v>
      </c>
      <c r="B184" t="s">
        <v>190</v>
      </c>
      <c r="C184" t="s">
        <v>215</v>
      </c>
      <c r="D184">
        <v>300407</v>
      </c>
      <c r="E184">
        <v>1</v>
      </c>
      <c r="G184" t="s">
        <v>214</v>
      </c>
      <c r="H184" t="s">
        <v>184</v>
      </c>
      <c r="J184" t="str">
        <f t="shared" si="2"/>
        <v>80001520,"Probador Guante Aslt G99",UN,300407,1,,200/IM136,ACTIVO</v>
      </c>
    </row>
    <row r="185" spans="1:10" x14ac:dyDescent="0.3">
      <c r="A185">
        <v>80008230</v>
      </c>
      <c r="B185" t="s">
        <v>191</v>
      </c>
      <c r="C185" t="s">
        <v>215</v>
      </c>
      <c r="D185">
        <v>250715</v>
      </c>
      <c r="E185">
        <v>1</v>
      </c>
      <c r="G185" t="s">
        <v>214</v>
      </c>
      <c r="H185" t="s">
        <v>184</v>
      </c>
      <c r="J185" t="str">
        <f t="shared" si="2"/>
        <v>80008230,"Cortador Cable Mod63060 KleinTool",UN,250715,1,,200/IM136,ACTIVO</v>
      </c>
    </row>
    <row r="186" spans="1:10" x14ac:dyDescent="0.3">
      <c r="A186">
        <v>80016420</v>
      </c>
      <c r="B186" t="s">
        <v>192</v>
      </c>
      <c r="C186" t="s">
        <v>215</v>
      </c>
      <c r="D186">
        <v>1361113</v>
      </c>
      <c r="E186">
        <v>1</v>
      </c>
      <c r="G186" t="s">
        <v>214</v>
      </c>
      <c r="H186" t="s">
        <v>184</v>
      </c>
      <c r="J186" t="str">
        <f t="shared" si="2"/>
        <v>80016420,"Podador de Altura Motorizada Stihl HT103",UN,1361113,1,,200/IM136,ACTIVO</v>
      </c>
    </row>
    <row r="187" spans="1:10" x14ac:dyDescent="0.3">
      <c r="A187" s="1">
        <v>80018050</v>
      </c>
      <c r="B187" s="1" t="s">
        <v>193</v>
      </c>
      <c r="C187" s="1" t="s">
        <v>215</v>
      </c>
      <c r="D187">
        <v>412522</v>
      </c>
      <c r="E187">
        <v>1</v>
      </c>
      <c r="G187" t="s">
        <v>214</v>
      </c>
      <c r="H187" t="s">
        <v>184</v>
      </c>
      <c r="J187" t="str">
        <f t="shared" si="2"/>
        <v>80018050,"Detector Tensión Acústico-Vis 10-30KV",UN,412522,1,,200/IM136,ACTIVO</v>
      </c>
    </row>
    <row r="188" spans="1:10" x14ac:dyDescent="0.3">
      <c r="A188">
        <v>80021110</v>
      </c>
      <c r="B188" t="s">
        <v>194</v>
      </c>
      <c r="C188" t="s">
        <v>215</v>
      </c>
      <c r="D188">
        <v>118466</v>
      </c>
      <c r="E188">
        <v>4</v>
      </c>
      <c r="G188" t="s">
        <v>214</v>
      </c>
      <c r="H188" t="s">
        <v>184</v>
      </c>
      <c r="J188" t="str">
        <f t="shared" si="2"/>
        <v>80021110,"Puesta Tierra BT con garras",UN,118466,4,,200/IM136,ACTIVO</v>
      </c>
    </row>
    <row r="189" spans="1:10" x14ac:dyDescent="0.3">
      <c r="A189">
        <v>80021111</v>
      </c>
      <c r="B189" t="s">
        <v>195</v>
      </c>
      <c r="C189" t="s">
        <v>215</v>
      </c>
      <c r="D189">
        <v>1574339</v>
      </c>
      <c r="E189">
        <v>2</v>
      </c>
      <c r="G189" t="s">
        <v>214</v>
      </c>
      <c r="H189" t="s">
        <v>184</v>
      </c>
      <c r="J189" t="str">
        <f t="shared" si="2"/>
        <v>80021111,"Tierra MT Chance 1,8mt",UN,1574339,2,,200/IM136,ACTIVO</v>
      </c>
    </row>
    <row r="190" spans="1:10" x14ac:dyDescent="0.3">
      <c r="A190">
        <v>80021125</v>
      </c>
      <c r="B190" t="s">
        <v>196</v>
      </c>
      <c r="C190" t="s">
        <v>215</v>
      </c>
      <c r="D190">
        <v>483809</v>
      </c>
      <c r="E190">
        <v>2</v>
      </c>
      <c r="G190" t="s">
        <v>214</v>
      </c>
      <c r="H190" t="s">
        <v>184</v>
      </c>
      <c r="J190" t="str">
        <f t="shared" si="2"/>
        <v>80021125,"Puesta a tierra temporal preens en línea",UN,483809,2,,200/IM136,ACTIVO</v>
      </c>
    </row>
    <row r="191" spans="1:10" x14ac:dyDescent="0.3">
      <c r="A191">
        <v>80025250</v>
      </c>
      <c r="B191" t="s">
        <v>197</v>
      </c>
      <c r="C191" t="s">
        <v>215</v>
      </c>
      <c r="D191">
        <v>378054</v>
      </c>
      <c r="E191">
        <v>1</v>
      </c>
      <c r="G191" t="s">
        <v>214</v>
      </c>
      <c r="H191" t="s">
        <v>184</v>
      </c>
      <c r="J191" t="str">
        <f t="shared" si="2"/>
        <v>80025250,"Escalera Tlsc Fibra Vid 6,4mt mod.D-7124-2",UN,378054,1,,200/IM136,ACTIVO</v>
      </c>
    </row>
    <row r="192" spans="1:10" x14ac:dyDescent="0.3">
      <c r="A192">
        <v>80036322</v>
      </c>
      <c r="B192" t="s">
        <v>198</v>
      </c>
      <c r="C192" t="s">
        <v>215</v>
      </c>
      <c r="D192">
        <v>3090022</v>
      </c>
      <c r="E192">
        <v>1</v>
      </c>
      <c r="G192" t="s">
        <v>214</v>
      </c>
      <c r="H192" t="s">
        <v>184</v>
      </c>
      <c r="J192" t="str">
        <f t="shared" si="2"/>
        <v>80036322,"Herramienta Comps Hidr 8AWG-500MCM",UN,3090022,1,,200/IM136,ACTIVO</v>
      </c>
    </row>
    <row r="193" spans="1:10" x14ac:dyDescent="0.3">
      <c r="A193">
        <v>80036330</v>
      </c>
      <c r="B193" t="s">
        <v>199</v>
      </c>
      <c r="C193" t="s">
        <v>215</v>
      </c>
      <c r="D193">
        <v>379495</v>
      </c>
      <c r="E193">
        <v>1</v>
      </c>
      <c r="G193" t="s">
        <v>214</v>
      </c>
      <c r="H193" t="s">
        <v>184</v>
      </c>
      <c r="J193" t="str">
        <f t="shared" si="2"/>
        <v>80036330,"Herramienta Comps 8-2AWG Mod 53MXJ",UN,379495,1,,200/IM136,ACTIVO</v>
      </c>
    </row>
    <row r="194" spans="1:10" x14ac:dyDescent="0.3">
      <c r="A194">
        <v>80036370</v>
      </c>
      <c r="B194" t="s">
        <v>200</v>
      </c>
      <c r="C194" t="s">
        <v>215</v>
      </c>
      <c r="D194">
        <v>1587880</v>
      </c>
      <c r="E194">
        <v>1</v>
      </c>
      <c r="G194" t="s">
        <v>214</v>
      </c>
      <c r="H194" t="s">
        <v>184</v>
      </c>
      <c r="J194" t="str">
        <f t="shared" si="2"/>
        <v>80036370,"Herramienta Conec Alu Apc",UN,1587880,1,,200/IM136,ACTIVO</v>
      </c>
    </row>
    <row r="195" spans="1:10" x14ac:dyDescent="0.3">
      <c r="A195">
        <v>80053200</v>
      </c>
      <c r="B195" t="s">
        <v>201</v>
      </c>
      <c r="C195" t="s">
        <v>215</v>
      </c>
      <c r="D195">
        <v>231493</v>
      </c>
      <c r="E195">
        <v>2</v>
      </c>
      <c r="G195" t="s">
        <v>214</v>
      </c>
      <c r="H195" t="s">
        <v>184</v>
      </c>
      <c r="J195" t="str">
        <f t="shared" ref="J195:J207" si="3">A195 &amp; "," &amp; """" &amp; B195 &amp; """" &amp; "," &amp; C195 &amp; "," &amp; D195 &amp; "," &amp; E195 &amp; "," &amp; F195 &amp; "," &amp; G195 &amp; "," &amp; H195</f>
        <v>80053200,"Linterna Litebox modelo 45852( foco naranjo)",UN,231493,2,,200/IM136,ACTIVO</v>
      </c>
    </row>
    <row r="196" spans="1:10" x14ac:dyDescent="0.3">
      <c r="A196">
        <v>80055250</v>
      </c>
      <c r="B196" t="s">
        <v>202</v>
      </c>
      <c r="C196" t="s">
        <v>215</v>
      </c>
      <c r="D196">
        <v>260396</v>
      </c>
      <c r="E196">
        <v>1</v>
      </c>
      <c r="G196" t="s">
        <v>214</v>
      </c>
      <c r="H196" t="s">
        <v>184</v>
      </c>
      <c r="J196" t="str">
        <f t="shared" si="3"/>
        <v>80055250,"Motosierra Espada Crt 14" 35,2 cc",UN,260396,1,,200/IM136,ACTIVO</v>
      </c>
    </row>
    <row r="197" spans="1:10" x14ac:dyDescent="0.3">
      <c r="A197">
        <v>80058040</v>
      </c>
      <c r="B197" t="s">
        <v>203</v>
      </c>
      <c r="C197" t="s">
        <v>215</v>
      </c>
      <c r="D197">
        <v>149856</v>
      </c>
      <c r="E197">
        <v>1</v>
      </c>
      <c r="G197" t="s">
        <v>214</v>
      </c>
      <c r="H197" t="s">
        <v>184</v>
      </c>
      <c r="J197" t="str">
        <f t="shared" si="3"/>
        <v>80058040,"Pértiga BT c/Fda H3046-11",UN,149856,1,,200/IM136,ACTIVO</v>
      </c>
    </row>
    <row r="198" spans="1:10" x14ac:dyDescent="0.3">
      <c r="A198">
        <v>80058070</v>
      </c>
      <c r="B198" t="s">
        <v>204</v>
      </c>
      <c r="C198" t="s">
        <v>215</v>
      </c>
      <c r="D198">
        <v>478649</v>
      </c>
      <c r="E198">
        <v>1</v>
      </c>
      <c r="G198" t="s">
        <v>214</v>
      </c>
      <c r="H198" t="s">
        <v>184</v>
      </c>
      <c r="J198" t="str">
        <f t="shared" si="3"/>
        <v>80058070,"Podadora Altura Manual H2106-4",UN,478649,1,,200/IM136,ACTIVO</v>
      </c>
    </row>
    <row r="199" spans="1:10" x14ac:dyDescent="0.3">
      <c r="A199">
        <v>80058430</v>
      </c>
      <c r="B199" t="s">
        <v>205</v>
      </c>
      <c r="C199" t="s">
        <v>215</v>
      </c>
      <c r="D199">
        <v>542154</v>
      </c>
      <c r="E199">
        <v>1</v>
      </c>
      <c r="G199" t="s">
        <v>214</v>
      </c>
      <c r="H199" t="s">
        <v>184</v>
      </c>
      <c r="J199" t="str">
        <f t="shared" si="3"/>
        <v>80058430,"Pértiga Telescópica 7Cpos 9,21Lg  HV-230",UN,542154,1,,200/IM136,ACTIVO</v>
      </c>
    </row>
    <row r="200" spans="1:10" x14ac:dyDescent="0.3">
      <c r="A200">
        <v>80058410</v>
      </c>
      <c r="B200" t="s">
        <v>206</v>
      </c>
      <c r="C200" t="s">
        <v>215</v>
      </c>
      <c r="D200">
        <v>537584</v>
      </c>
      <c r="E200">
        <v>1</v>
      </c>
      <c r="G200" t="s">
        <v>214</v>
      </c>
      <c r="H200" t="s">
        <v>184</v>
      </c>
      <c r="J200" t="str">
        <f t="shared" si="3"/>
        <v>80058410,"Pértiga MT 3 Secciones Atornillada",UN,537584,1,,200/IM136,ACTIVO</v>
      </c>
    </row>
    <row r="201" spans="1:10" x14ac:dyDescent="0.3">
      <c r="A201">
        <v>80058510</v>
      </c>
      <c r="B201" t="s">
        <v>207</v>
      </c>
      <c r="C201" t="s">
        <v>215</v>
      </c>
      <c r="D201">
        <v>837096</v>
      </c>
      <c r="E201">
        <v>1</v>
      </c>
      <c r="G201" t="s">
        <v>214</v>
      </c>
      <c r="H201" t="s">
        <v>184</v>
      </c>
      <c r="J201" t="str">
        <f t="shared" si="3"/>
        <v>80058510,"Pértiga Gatillo 3,2m c/Fda",UN,837096,1,,200/IM136,ACTIVO</v>
      </c>
    </row>
    <row r="202" spans="1:10" x14ac:dyDescent="0.3">
      <c r="A202" s="1">
        <v>80090032</v>
      </c>
      <c r="B202" s="1" t="s">
        <v>208</v>
      </c>
      <c r="C202" s="1" t="s">
        <v>215</v>
      </c>
      <c r="D202">
        <v>182700</v>
      </c>
      <c r="E202">
        <v>2</v>
      </c>
      <c r="G202" t="s">
        <v>214</v>
      </c>
      <c r="H202" t="s">
        <v>184</v>
      </c>
      <c r="J202" t="str">
        <f t="shared" si="3"/>
        <v>80090032,"Tecle Pal c/Cadena 3/4 Ton",UN,182700,2,,200/IM136,ACTIVO</v>
      </c>
    </row>
    <row r="203" spans="1:10" x14ac:dyDescent="0.3">
      <c r="A203">
        <v>80151115</v>
      </c>
      <c r="B203" t="s">
        <v>209</v>
      </c>
      <c r="C203" t="s">
        <v>215</v>
      </c>
      <c r="D203">
        <v>674348</v>
      </c>
      <c r="E203">
        <v>1</v>
      </c>
      <c r="G203" t="s">
        <v>214</v>
      </c>
      <c r="H203" t="s">
        <v>184</v>
      </c>
      <c r="J203" t="str">
        <f t="shared" si="3"/>
        <v>80151115,"Tecle Cordel 3 Poleas",UN,674348,1,,200/IM136,ACTIVO</v>
      </c>
    </row>
    <row r="204" spans="1:10" x14ac:dyDescent="0.3">
      <c r="A204">
        <v>95210220</v>
      </c>
      <c r="B204" t="s">
        <v>210</v>
      </c>
      <c r="C204" t="s">
        <v>215</v>
      </c>
      <c r="D204">
        <v>438975</v>
      </c>
      <c r="E204">
        <v>1</v>
      </c>
      <c r="G204" t="s">
        <v>214</v>
      </c>
      <c r="H204" t="s">
        <v>184</v>
      </c>
      <c r="J204" t="str">
        <f t="shared" si="3"/>
        <v>95210220,"Equipo base/móvil VHF, 136-174mhz FDMA ICOM sin conector Accesorios",UN,438975,1,,200/IM136,ACTIVO</v>
      </c>
    </row>
    <row r="205" spans="1:10" x14ac:dyDescent="0.3">
      <c r="A205">
        <v>95555650</v>
      </c>
      <c r="B205" t="s">
        <v>211</v>
      </c>
      <c r="C205" t="s">
        <v>215</v>
      </c>
      <c r="D205">
        <v>256578</v>
      </c>
      <c r="E205">
        <v>2</v>
      </c>
      <c r="G205" t="s">
        <v>214</v>
      </c>
      <c r="H205" t="s">
        <v>184</v>
      </c>
      <c r="J205" t="str">
        <f t="shared" si="3"/>
        <v>95555650,"Equipo portátil VHF, 136-174mhz FDMA ICOM",UN,256578,2,,200/IM136,ACTIVO</v>
      </c>
    </row>
    <row r="206" spans="1:10" x14ac:dyDescent="0.3">
      <c r="A206">
        <v>99000033</v>
      </c>
      <c r="B206" t="s">
        <v>212</v>
      </c>
      <c r="C206" t="s">
        <v>215</v>
      </c>
      <c r="D206">
        <v>196251</v>
      </c>
      <c r="E206">
        <v>1</v>
      </c>
      <c r="G206" t="s">
        <v>214</v>
      </c>
      <c r="H206" t="s">
        <v>184</v>
      </c>
      <c r="J206" t="str">
        <f t="shared" si="3"/>
        <v>99000033,"Binocular 10x42mm 1000/100mts",UN,196251,1,,200/IM136,ACTIVO</v>
      </c>
    </row>
    <row r="207" spans="1:10" x14ac:dyDescent="0.3">
      <c r="A207">
        <v>99210008</v>
      </c>
      <c r="B207" t="s">
        <v>213</v>
      </c>
      <c r="C207" t="s">
        <v>215</v>
      </c>
      <c r="D207">
        <v>287243</v>
      </c>
      <c r="E207">
        <v>1</v>
      </c>
      <c r="G207" t="s">
        <v>214</v>
      </c>
      <c r="H207" t="s">
        <v>184</v>
      </c>
      <c r="J207" t="str">
        <f t="shared" si="3"/>
        <v>99210008,"Telemetro Medr Dst Laser Bushnell 202355",UN,287243,1,,200/IM136,ACTIVO</v>
      </c>
    </row>
  </sheetData>
  <autoFilter ref="A1:H207" xr:uid="{0C2BCC85-9F11-43B3-8423-C6B09C5C5B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Andres Contreras Salazar</dc:creator>
  <cp:lastModifiedBy>Felipe Andres Contreras Salazar</cp:lastModifiedBy>
  <dcterms:created xsi:type="dcterms:W3CDTF">2015-06-05T18:19:34Z</dcterms:created>
  <dcterms:modified xsi:type="dcterms:W3CDTF">2026-07-21T23:41:38Z</dcterms:modified>
</cp:coreProperties>
</file>